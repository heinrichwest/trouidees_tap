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specconsa-my.sharepoint.com/personal/hein_speccon_co_za/Documents/Software Development/Projects v2/Trouidees/"/>
    </mc:Choice>
  </mc:AlternateContent>
  <xr:revisionPtr revIDLastSave="17" documentId="13_ncr:1_{AE23FDB8-D945-4281-BB42-70CA429920E3}" xr6:coauthVersionLast="47" xr6:coauthVersionMax="47" xr10:uidLastSave="{87AA159A-AA68-4D39-A70E-7C9B73665118}"/>
  <bookViews>
    <workbookView xWindow="38280" yWindow="-120" windowWidth="29040" windowHeight="15720" activeTab="3" xr2:uid="{00000000-000D-0000-FFFF-FFFF00000000}"/>
  </bookViews>
  <sheets>
    <sheet name="Firebase" sheetId="2" r:id="rId1"/>
    <sheet name="Firebase Cred Copy from Step 1" sheetId="3" r:id="rId2"/>
    <sheet name="First IDE Prompts" sheetId="6" r:id="rId3"/>
    <sheet name="Deploy" sheetId="9" r:id="rId4"/>
    <sheet name="Trouidees Brand Guide" sheetId="10" r:id="rId5"/>
    <sheet name="Speccon Brand Guide" sheetId="7" r:id="rId6"/>
    <sheet name="Academy Brand Guide"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4" i="7" l="1" a="1"/>
  <c r="A254" i="7" s="1"/>
  <c r="A255" i="7" a="1"/>
  <c r="A255" i="7" s="1"/>
  <c r="A330" i="7" a="1"/>
  <c r="A330" i="7" s="1"/>
  <c r="A332" i="7" a="1"/>
  <c r="A332" i="7" s="1"/>
  <c r="A353" i="7" a="1"/>
  <c r="A353" i="7" s="1"/>
  <c r="A354" i="7" a="1"/>
  <c r="A354" i="7" s="1"/>
  <c r="A355" i="7" a="1"/>
  <c r="A355" i="7" s="1"/>
  <c r="A552" i="7" a="1"/>
  <c r="A552" i="7" s="1"/>
  <c r="A554" i="7" a="1"/>
  <c r="A554" i="7" s="1"/>
  <c r="A555" i="7" a="1"/>
  <c r="A555" i="7" s="1"/>
  <c r="A556" i="7" a="1"/>
  <c r="A556" i="7" s="1"/>
  <c r="A557" i="7" a="1"/>
  <c r="A557" i="7" s="1"/>
  <c r="A560" i="7" a="1"/>
  <c r="A560" i="7" s="1"/>
  <c r="A563" i="7" a="1"/>
  <c r="A563" i="7" s="1"/>
  <c r="A564" i="7" a="1"/>
  <c r="A564" i="7" s="1"/>
  <c r="A565" i="7" a="1"/>
  <c r="A565" i="7" s="1"/>
  <c r="A573" i="7" a="1"/>
  <c r="A573" i="7" s="1"/>
  <c r="A574" i="7" a="1"/>
  <c r="A574" i="7" s="1"/>
  <c r="A575" i="7" a="1"/>
  <c r="A575" i="7" s="1"/>
  <c r="A576" i="7" a="1"/>
  <c r="A576" i="7" s="1"/>
  <c r="D16" i="2"/>
  <c r="E16" i="2" s="1"/>
  <c r="A7" i="2" s="1"/>
  <c r="D17" i="2"/>
  <c r="E17" i="2" s="1"/>
  <c r="A8" i="2" s="1"/>
  <c r="D18" i="2"/>
  <c r="E18" i="2" s="1"/>
  <c r="A9" i="2" s="1"/>
  <c r="D69" i="2"/>
  <c r="E69" i="2" s="1"/>
  <c r="A10" i="2" s="1"/>
  <c r="D70" i="2"/>
  <c r="E70" i="2" s="1"/>
  <c r="A11" i="2" s="1"/>
  <c r="D71" i="2"/>
  <c r="E71" i="2" s="1"/>
  <c r="A12" i="2" s="1"/>
  <c r="D72" i="2"/>
  <c r="E72" i="2" s="1"/>
  <c r="A1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<sst xmlns="http://schemas.openxmlformats.org/spreadsheetml/2006/main" count="966" uniqueCount="857">
  <si>
    <t>1. Create the Firebase project</t>
  </si>
  <si>
    <t>Now the React app is truly connected to Firebase and ready for Auth/Firestore.</t>
  </si>
  <si>
    <t>This part uses the Firebase CLI and will actually put your app on Google’s infrastructure.</t>
  </si>
  <si>
    <t>After that:</t>
  </si>
  <si>
    <t>VITE_FIREBASE_API_KEY=your-api-key</t>
  </si>
  <si>
    <t>VITE_FIREBASE_AUTH_DOMAIN=your-project-id.firebaseapp.com</t>
  </si>
  <si>
    <t>VITE_FIREBASE_PROJECT_ID=your-project-id</t>
  </si>
  <si>
    <t>VITE_FIREBASE_STORAGE_BUCKET=your-project-id.appspot.com</t>
  </si>
  <si>
    <t>VITE_FIREBASE_MESSAGING_SENDER_ID=your-messaging-sender-id</t>
  </si>
  <si>
    <t>VITE_FIREBASE_APP_ID=your-app-id</t>
  </si>
  <si>
    <t>VITE_FIREBASE_MEASUREMENT_ID=your-measurement-id-optional</t>
  </si>
  <si>
    <t>cd app</t>
  </si>
  <si>
    <t>npm run dev</t>
  </si>
  <si>
    <r>
      <t>1. Open </t>
    </r>
    <r>
      <rPr>
        <sz val="16"/>
        <rFont val="Consolas"/>
        <family val="3"/>
      </rPr>
      <t>http://localhost:5173</t>
    </r>
    <r>
      <rPr>
        <sz val="16"/>
        <rFont val="Calibri"/>
        <family val="2"/>
        <scheme val="minor"/>
      </rPr>
      <t> (or whatever port Vite uses) and check:</t>
    </r>
  </si>
  <si>
    <r>
      <t>On the page you should see </t>
    </r>
    <r>
      <rPr>
        <sz val="16"/>
        <rFont val="Calibri"/>
        <family val="2"/>
        <scheme val="minor"/>
      </rPr>
      <t>“Firebase app ID: \&lt;your-app-id\&gt;”</t>
    </r>
    <r>
      <rPr>
        <sz val="16"/>
        <rFont val="Calibri"/>
        <family val="2"/>
        <scheme val="minor"/>
      </rPr>
      <t>.</t>
    </r>
  </si>
  <si>
    <r>
      <t>If it shows “Missing – check your .env”, the variables are not loaded correctly (double-check </t>
    </r>
    <r>
      <rPr>
        <sz val="16"/>
        <rFont val="Consolas"/>
        <family val="3"/>
      </rPr>
      <t>.env</t>
    </r>
    <r>
      <rPr>
        <sz val="16"/>
        <rFont val="Calibri"/>
        <family val="2"/>
        <scheme val="minor"/>
      </rPr>
      <t> location and names).</t>
    </r>
  </si>
  <si>
    <t>npm install -g firebase-tools</t>
  </si>
  <si>
    <t>firebase login</t>
  </si>
  <si>
    <t>firebase init hosting</t>
  </si>
  <si>
    <r>
      <t>During </t>
    </r>
    <r>
      <rPr>
        <sz val="16"/>
        <rFont val="Consolas"/>
        <family val="3"/>
      </rPr>
      <t>firebase init hosting</t>
    </r>
    <r>
      <rPr>
        <sz val="16"/>
        <rFont val="Calibri"/>
        <family val="2"/>
        <scheme val="minor"/>
      </rPr>
      <t>:</t>
    </r>
  </si>
  <si>
    <r>
      <t>Choose your existing </t>
    </r>
    <r>
      <rPr>
        <sz val="16"/>
        <rFont val="Calibri"/>
        <family val="2"/>
        <scheme val="minor"/>
      </rPr>
      <t>Firebase project</t>
    </r>
    <r>
      <rPr>
        <sz val="16"/>
        <rFont val="Calibri"/>
        <family val="2"/>
        <scheme val="minor"/>
      </rPr>
      <t>.</t>
    </r>
  </si>
  <si>
    <r>
      <t>Set </t>
    </r>
    <r>
      <rPr>
        <sz val="16"/>
        <rFont val="Calibri"/>
        <family val="2"/>
        <scheme val="minor"/>
      </rPr>
      <t>public directory</t>
    </r>
    <r>
      <rPr>
        <sz val="16"/>
        <rFont val="Calibri"/>
        <family val="2"/>
        <scheme val="minor"/>
      </rPr>
      <t> to </t>
    </r>
    <r>
      <rPr>
        <sz val="16"/>
        <rFont val="Consolas"/>
        <family val="3"/>
      </rPr>
      <t>dist</t>
    </r>
    <r>
      <rPr>
        <sz val="16"/>
        <rFont val="Calibri"/>
        <family val="2"/>
        <scheme val="minor"/>
      </rPr>
      <t>.</t>
    </r>
  </si>
  <si>
    <r>
      <t>Answer </t>
    </r>
    <r>
      <rPr>
        <sz val="16"/>
        <rFont val="Calibri"/>
        <family val="2"/>
        <scheme val="minor"/>
      </rPr>
      <t>“Yes”</t>
    </r>
    <r>
      <rPr>
        <sz val="16"/>
        <rFont val="Calibri"/>
        <family val="2"/>
        <scheme val="minor"/>
      </rPr>
      <t> to configure as a single-page app when asked (for React routing).</t>
    </r>
  </si>
  <si>
    <r>
      <t>Let it create </t>
    </r>
    <r>
      <rPr>
        <sz val="16"/>
        <rFont val="Consolas"/>
        <family val="3"/>
      </rPr>
      <t>firebase.json</t>
    </r>
    <r>
      <rPr>
        <sz val="16"/>
        <rFont val="Calibri"/>
        <family val="2"/>
        <scheme val="minor"/>
      </rPr>
      <t> and </t>
    </r>
    <r>
      <rPr>
        <sz val="16"/>
        <rFont val="Consolas"/>
        <family val="3"/>
      </rPr>
      <t>.firebaserc</t>
    </r>
    <r>
      <rPr>
        <sz val="16"/>
        <rFont val="Calibri"/>
        <family val="2"/>
        <scheme val="minor"/>
      </rPr>
      <t>.</t>
    </r>
  </si>
  <si>
    <t>npm run build</t>
  </si>
  <si>
    <t>firebase deploy --only hosting</t>
  </si>
  <si>
    <r>
      <t>Firebase will show a </t>
    </r>
    <r>
      <rPr>
        <sz val="16"/>
        <rFont val="Calibri"/>
        <family val="2"/>
        <scheme val="minor"/>
      </rPr>
      <t>Hosting URL</t>
    </r>
    <r>
      <rPr>
        <sz val="16"/>
        <rFont val="Calibri"/>
        <family val="2"/>
        <scheme val="minor"/>
      </rPr>
      <t> where your React app is live on Google Cloud.</t>
    </r>
  </si>
  <si>
    <t>const firebaseConfig = {</t>
  </si>
  <si>
    <t>};</t>
  </si>
  <si>
    <r>
      <t>4. Restart your dev server</t>
    </r>
    <r>
      <rPr>
        <sz val="16"/>
        <rFont val="Calibri"/>
        <family val="2"/>
        <scheme val="minor"/>
      </rPr>
      <t> if it’s running:</t>
    </r>
  </si>
  <si>
    <t>5. Prepare Firebase Hosting on Google Cloud</t>
  </si>
  <si>
    <t>Install Firebase CLI (once on your machine)</t>
  </si>
  <si>
    <r>
      <t>Login and initialize hosting</t>
    </r>
    <r>
      <rPr>
        <sz val="16"/>
        <rFont val="Calibri"/>
        <family val="2"/>
        <scheme val="minor"/>
      </rPr>
      <t> (from the </t>
    </r>
    <r>
      <rPr>
        <sz val="16"/>
        <rFont val="Consolas"/>
        <family val="3"/>
      </rPr>
      <t>app</t>
    </r>
    <r>
      <rPr>
        <sz val="16"/>
        <rFont val="Calibri"/>
        <family val="2"/>
        <scheme val="minor"/>
      </rPr>
      <t> folder):</t>
    </r>
  </si>
  <si>
    <t>Build and deploy</t>
  </si>
  <si>
    <t>// TODO: Add SDKs for Firebase products that you want to use</t>
  </si>
  <si>
    <t>// https://firebase.google.com/docs/web/setup#available-libraries</t>
  </si>
  <si>
    <t>// Your web app's Firebase configuration</t>
  </si>
  <si>
    <t>// For Firebase JS SDK v7.20.0 and later, measurementId is optional</t>
  </si>
  <si>
    <t>// Import the functions you need from the SDKs you need</t>
  </si>
  <si>
    <t>import { initializeApp } from "firebase/app";</t>
  </si>
  <si>
    <t>import { getAnalytics } from "firebase/analytics";</t>
  </si>
  <si>
    <t>// Initialize Firebase</t>
  </si>
  <si>
    <t>const app = initializeApp(firebaseConfig);</t>
  </si>
  <si>
    <t>const analytics = getAnalytics(app);</t>
  </si>
  <si>
    <t>https://scribehow.com/viewer/Create_a_Firebase_Project__iojkdmbnTdiIcW2nEi8RSA</t>
  </si>
  <si>
    <t>Scribe link</t>
  </si>
  <si>
    <t>Setting up Firebase</t>
  </si>
  <si>
    <t>3. Setting up the database</t>
  </si>
  <si>
    <t>2. Enable User login Authentication</t>
  </si>
  <si>
    <t>https://scribehow.com/viewer/Enable_EmailPassword_Authentication_in_Firebase__lhnJ_dNQQtW9t4Q3xcg2dQ</t>
  </si>
  <si>
    <t>https://scribehow.com/viewer/Create_a_Firestore_Database_in_Firebase__SaiKXmaaTZiS2spcdUNBeQ</t>
  </si>
  <si>
    <t>https://scribehow.com/viewer/Create_env_file__iEYivBJpR7yYQXH8b7KJZg</t>
  </si>
  <si>
    <t>4. Add your Firebase config to the React app folder</t>
  </si>
  <si>
    <t>5. Create the default React App on your local machine</t>
  </si>
  <si>
    <t>Create all the defualt React files for me and start the local server. I want to develop a program that will be hosted on Firebase, I have already created the .env file with all the Firebase credentials, and created the database.</t>
  </si>
  <si>
    <t>https://scribehow.com/viewer/Create_React_Files_in_IDE__UcHPaSbpT7OEDfEXdEUATQ</t>
  </si>
  <si>
    <t>6. Get new database rules for firebase</t>
  </si>
  <si>
    <t>https://scribehow.com/viewer/Create_New_Rules_for_Firebase_Database__Xd1IBNfnTimr63GVFMuM5Q</t>
  </si>
  <si>
    <t>7. Change rules in Firebase</t>
  </si>
  <si>
    <t>https://scribehow.com/viewer/Update_Firestore_Security_Rules__NEeJ582eRHqPvcfkmBXGvw</t>
  </si>
  <si>
    <t>Setup login for users to either use email and password I created or the microsoft exchange login we setup</t>
  </si>
  <si>
    <t>Admin role</t>
  </si>
  <si>
    <t>Users Login</t>
  </si>
  <si>
    <t>Test User create</t>
  </si>
  <si>
    <t>Go to Firebase and authentication and create one user for every role you need</t>
  </si>
  <si>
    <t>For example Admin@speccon.co.za, systemuser1@test.co.za</t>
  </si>
  <si>
    <t>Create the following options for the admin user:</t>
  </si>
  <si>
    <t>================================================================================</t>
  </si>
  <si>
    <t xml:space="preserve">                        SPECCON HOLDINGS BRAND IDENTITY GUIDE</t>
  </si>
  <si>
    <t xml:space="preserve">                                  October 2025</t>
  </si>
  <si>
    <t>Prepared by NOMANSLAND</t>
  </si>
  <si>
    <t xml:space="preserve">                                    VISION</t>
  </si>
  <si>
    <t>To be South Africa's leading Opportunity Ecosystem — pioneering growth,</t>
  </si>
  <si>
    <t>transforming lives, and enabling success through fearless innovation, belief,</t>
  </si>
  <si>
    <t>and client-centred partnerships.</t>
  </si>
  <si>
    <t xml:space="preserve">                                   MISSION</t>
  </si>
  <si>
    <t>SpecCon exists to create opportunities that matter.</t>
  </si>
  <si>
    <t>We empower individuals, businesses, and communities through agile, future-focused</t>
  </si>
  <si>
    <t>skills solutions, anchored in integrity, resilience, and heart. We unlock growth,</t>
  </si>
  <si>
    <t>transform lives, and steward lasting impact.</t>
  </si>
  <si>
    <t xml:space="preserve">                            VALUES &amp; PRINCIPLES</t>
  </si>
  <si>
    <t>OUR CORE VALUES</t>
  </si>
  <si>
    <t>-------------------------------------------------------------------------------</t>
  </si>
  <si>
    <t>Resilience     - We persevere through challenges with courage and faith.</t>
  </si>
  <si>
    <t>Integrity      - Ethical behaviour is non-negotiable at every level.</t>
  </si>
  <si>
    <t>Generosity     - We give freely, enabling others to succeed.</t>
  </si>
  <si>
    <t>Innovation     - We continuously improve to stay ahead of the curve.</t>
  </si>
  <si>
    <t>Faith          - We operate in obedience, trusting God's providence.</t>
  </si>
  <si>
    <t>Transformation - We measure success in changed lives, not just numbers.</t>
  </si>
  <si>
    <t>OUR LEADERSHIP PHILOSOPHY</t>
  </si>
  <si>
    <t>SpecCon's leadership is pioneering yet protective, carrying a fatherly</t>
  </si>
  <si>
    <t>responsibility to guide, provide, and develop.</t>
  </si>
  <si>
    <t>Pioneers &amp; Protectors:</t>
  </si>
  <si>
    <t>Fearlessly leading innovation, while safeguarding people and values.</t>
  </si>
  <si>
    <t>Fatherly Leadership:</t>
  </si>
  <si>
    <t>Willing to trust and develop others through immaturity, mentoring with</t>
  </si>
  <si>
    <t>compassion but holding firm boundaries.</t>
  </si>
  <si>
    <t>Growth-oriented:</t>
  </si>
  <si>
    <t>Valuing willingness to grow over current capability, leaving space for</t>
  </si>
  <si>
    <t>development and learning.</t>
  </si>
  <si>
    <t>Integrity First:</t>
  </si>
  <si>
    <t>Mistakes are part of learning, but dishonesty and lack of ownership are</t>
  </si>
  <si>
    <t>never tolerated.</t>
  </si>
  <si>
    <t>OUR MANAGEMENT PRINCIPLES</t>
  </si>
  <si>
    <t>Extreme Ownership:</t>
  </si>
  <si>
    <t>Every challenge is a collective responsibility.</t>
  </si>
  <si>
    <t>Self-Directed Teams:</t>
  </si>
  <si>
    <t>Freedom is expected to be matched with accountability.</t>
  </si>
  <si>
    <t>Transparency &amp; Communication:</t>
  </si>
  <si>
    <t>Write the vision, make it plain, and let the whole team see what is happening</t>
  </si>
  <si>
    <t>in the middle, in order to run with it.</t>
  </si>
  <si>
    <t>Client-Centricity:</t>
  </si>
  <si>
    <t>Always put ourselves in the client's shoes; design solutions from their</t>
  </si>
  <si>
    <t>perspective.</t>
  </si>
  <si>
    <t>Action-Oriented:</t>
  </si>
  <si>
    <t>Can do... DONE! — we execute with speed, clarity, and excellence.</t>
  </si>
  <si>
    <t xml:space="preserve">                           CULTURE &amp; FOUNDATION</t>
  </si>
  <si>
    <t>OUR CULTURE</t>
  </si>
  <si>
    <t>Flexible &amp; Responsive:</t>
  </si>
  <si>
    <t>Adapt quickly to shifting needs.</t>
  </si>
  <si>
    <t>Excellence in Gifting:</t>
  </si>
  <si>
    <t>Expect staff to operate at high levels of skill and calling.</t>
  </si>
  <si>
    <t>Platform Builders:</t>
  </si>
  <si>
    <t>Create opportunities for clients and team members to thrive.</t>
  </si>
  <si>
    <t>Faith in Action:</t>
  </si>
  <si>
    <t>Align organisational decisions to God's guidance; obedience unlocks providence.</t>
  </si>
  <si>
    <t>Transformational Focus:</t>
  </si>
  <si>
    <t>The heart of leadership is to see lives changed.</t>
  </si>
  <si>
    <t>OUR SPIRITUAL FOUNDATION</t>
  </si>
  <si>
    <t>Foundational Verses:</t>
  </si>
  <si>
    <t>Habakkuk 2:2</t>
  </si>
  <si>
    <t>Write the vision and engrave it plainly, so that the one who reads it may run.</t>
  </si>
  <si>
    <t>Revelation 3:7</t>
  </si>
  <si>
    <t>He who has the key of David, He opens and no one will shut.</t>
  </si>
  <si>
    <t>Zephaniah 3:17</t>
  </si>
  <si>
    <t>The Lord your God is in your midst, a mighty one who will save...</t>
  </si>
  <si>
    <t>Living Faith:</t>
  </si>
  <si>
    <t>SpecCon expresses the Father's heart in business, combining vision, values,</t>
  </si>
  <si>
    <t>and action with spiritual conviction.</t>
  </si>
  <si>
    <t>Opt-In Discipleship:</t>
  </si>
  <si>
    <t>Faith is never forced; spiritual growth is an invitation.</t>
  </si>
  <si>
    <t>Power of Testimony:</t>
  </si>
  <si>
    <t>Stories of transformation fuel our culture.</t>
  </si>
  <si>
    <t xml:space="preserve">                            BRAND TONE &amp; VOICE</t>
  </si>
  <si>
    <t>OVERALL CHARACTER</t>
  </si>
  <si>
    <t>SpecCon's voice is intelligent, aspirational, and confident — but never aloof</t>
  </si>
  <si>
    <t>or complicated. It reflects wisdom and structure, speaking plainly in South</t>
  </si>
  <si>
    <t>African English. The tone is approachable yet authoritative, balancing</t>
  </si>
  <si>
    <t>professionalism with an inclusive, people-first outlook.</t>
  </si>
  <si>
    <t>KEY ATTRIBUTES</t>
  </si>
  <si>
    <t>Intelligent but clear:</t>
  </si>
  <si>
    <t>We communicate with insight and authority, but in plain, accessible language</t>
  </si>
  <si>
    <t>that anyone can understand.</t>
  </si>
  <si>
    <t>Aspirational yet grounded:</t>
  </si>
  <si>
    <t>We speak to the vision of a brighter future, while keeping our focus practical</t>
  </si>
  <si>
    <t>and results-driven.</t>
  </si>
  <si>
    <t>Inclusive:</t>
  </si>
  <si>
    <t>We address corporates, government, and individuals alike, making everyone feel</t>
  </si>
  <si>
    <t>part of the ecosystem we are building.</t>
  </si>
  <si>
    <t>Structured and purposeful:</t>
  </si>
  <si>
    <t>Every sentence should feel intentional — clear, direct, and designed to guide</t>
  </si>
  <si>
    <t>action.</t>
  </si>
  <si>
    <t>TONE IN PRACTICE</t>
  </si>
  <si>
    <t>Warmly authoritative:</t>
  </si>
  <si>
    <t>Like a trusted advisor, we combine professionalism with empathy.</t>
  </si>
  <si>
    <t>Straightforward:</t>
  </si>
  <si>
    <t>Avoid jargon, corporate cliches, or overly technical language. Speak plainly,</t>
  </si>
  <si>
    <t>with clarity.</t>
  </si>
  <si>
    <t>Inviting and empowering:</t>
  </si>
  <si>
    <t>Copy should make readers feel included, capable, and motivated to invest in</t>
  </si>
  <si>
    <t>themselves or their people.</t>
  </si>
  <si>
    <t>Vision-driven:</t>
  </si>
  <si>
    <t>Always tie practical steps to the bigger picture of growth, empowerment, and</t>
  </si>
  <si>
    <t>building a stronger South Africa.</t>
  </si>
  <si>
    <t xml:space="preserve">                              COPY GUIDELINES</t>
  </si>
  <si>
    <t>VOICE - STRIVE TO:</t>
  </si>
  <si>
    <t>Plain South African English:</t>
  </si>
  <si>
    <t>Write in a way that is clear, natural, and easy for everyone to understand.</t>
  </si>
  <si>
    <t>Keep it structured:</t>
  </si>
  <si>
    <t>Organise thoughts logically, with a clear beginning, middle, and end.</t>
  </si>
  <si>
    <t>Write with authority:</t>
  </si>
  <si>
    <t>Sound confident and knowledgeable, but never arrogant.</t>
  </si>
  <si>
    <t>Be aspirational:</t>
  </si>
  <si>
    <t>Show the bigger picture of growth and a brighter future while staying</t>
  </si>
  <si>
    <t>grounded in reality.</t>
  </si>
  <si>
    <t>Be inclusive:</t>
  </si>
  <si>
    <t>Write in a way that speaks to corporates, government, and partner</t>
  </si>
  <si>
    <t>individuals equally.</t>
  </si>
  <si>
    <t>Make it purposeful:</t>
  </si>
  <si>
    <t>Each sentence should guide, encourage, or inspire action.</t>
  </si>
  <si>
    <t>Use positive, empowering language:</t>
  </si>
  <si>
    <t>Focus on possibility, progress, and transformation.</t>
  </si>
  <si>
    <t>VOICE - AVOID:</t>
  </si>
  <si>
    <t>Don't use jargon or buzzwords:</t>
  </si>
  <si>
    <t>Avoid complicated corporate phrases (e.g., "synergise competencies" or</t>
  </si>
  <si>
    <t>leveraging paradigms).</t>
  </si>
  <si>
    <t>Don't be aloof or cold:</t>
  </si>
  <si>
    <t>The tone should never sound like it's talking down to people.</t>
  </si>
  <si>
    <t>Don't overcomplicate:</t>
  </si>
  <si>
    <t>Keep sentences direct and avoid long, confusing structures.</t>
  </si>
  <si>
    <t>Don't be salesy or gimmicky:</t>
  </si>
  <si>
    <t>The voice should be genuine and professional, not flashy.</t>
  </si>
  <si>
    <t>Don't exclude audiences:</t>
  </si>
  <si>
    <t>Avoid writing only for business or only for individuals — always hold</t>
  </si>
  <si>
    <t>both in mind.</t>
  </si>
  <si>
    <t>Don't make it abstract:</t>
  </si>
  <si>
    <t>Tie messages to real, practical benefits and outcomes.</t>
  </si>
  <si>
    <t xml:space="preserve">                               THE LOGO</t>
  </si>
  <si>
    <t>LOGO VERSIONS</t>
  </si>
  <si>
    <t>Standard:</t>
  </si>
  <si>
    <t>Navy blue logo on white/light backgrounds featuring the SC monogram icon</t>
  </si>
  <si>
    <t>above "SPECCON HOLDINGS" text.</t>
  </si>
  <si>
    <t>Reversed:</t>
  </si>
  <si>
    <t>White logo on navy blue/dark backgrounds.</t>
  </si>
  <si>
    <t>LOGO USAGE RULES</t>
  </si>
  <si>
    <t>DO NOT:</t>
  </si>
  <si>
    <t>- Alter the colour (do not change to red or other colours)</t>
  </si>
  <si>
    <t>- Alter the type/font</t>
  </si>
  <si>
    <t>- Tilt or rotate the logo</t>
  </si>
  <si>
    <t>- Alter or distort the icon</t>
  </si>
  <si>
    <t xml:space="preserve">                             COLOUR PALETTE</t>
  </si>
  <si>
    <t>PRIMARY COLOURS</t>
  </si>
  <si>
    <t>BLUE (Primary Brand Colour)</t>
  </si>
  <si>
    <t>Hex:  #12265E</t>
  </si>
  <si>
    <t>RGB:  18, 38, 94</t>
  </si>
  <si>
    <t>CMYK: 81%, 60%, 0%, 63%</t>
  </si>
  <si>
    <t>HSL:  224°, 68%, 22%</t>
  </si>
  <si>
    <t>ORANGE (Accent Colour)</t>
  </si>
  <si>
    <t>Hex:  #FFA600</t>
  </si>
  <si>
    <t>RGB:  255, 166, 0</t>
  </si>
  <si>
    <t>CMYK: 0%, 35%, 100%, 0%</t>
  </si>
  <si>
    <t>HSL:  39°, 100%, 50%</t>
  </si>
  <si>
    <t>SECONDARY COLOURS</t>
  </si>
  <si>
    <t>WHITE</t>
  </si>
  <si>
    <t>Hex:  #FFFFFF</t>
  </si>
  <si>
    <t>RGB:  255, 255, 255</t>
  </si>
  <si>
    <t>CMYK: 0%, 0%, 0%, 0%</t>
  </si>
  <si>
    <t>HSL:  0°, 0%, 100%</t>
  </si>
  <si>
    <t>LIGHT BLUE</t>
  </si>
  <si>
    <t>Hex:  #92ABC4</t>
  </si>
  <si>
    <t>RGB:  146, 171, 196</t>
  </si>
  <si>
    <t>CMYK: 26%, 13%, 0%, 23%</t>
  </si>
  <si>
    <t>HSL:  210°, 30%, 67%</t>
  </si>
  <si>
    <t xml:space="preserve">                               TYPOGRAPHY</t>
  </si>
  <si>
    <t>PRIMARY TYPEFACE - WIDE USAGE</t>
  </si>
  <si>
    <t>Roboto</t>
  </si>
  <si>
    <t>Weights: Thin, Light, Regular, Medium, Bold</t>
  </si>
  <si>
    <t>Character Set:</t>
  </si>
  <si>
    <t>ABCDEFGHIJKLMNOPQRSTUVWXYZ</t>
  </si>
  <si>
    <t>abcdefghijklmnopqrstuvwxyz</t>
  </si>
  <si>
    <t>SECONDARY TYPEFACE - LIMITED AESTHETIC USAGE</t>
  </si>
  <si>
    <t>Times New Roman</t>
  </si>
  <si>
    <t>Weights: Regular, Bold</t>
  </si>
  <si>
    <t xml:space="preserve">                               PHRASE BANK</t>
  </si>
  <si>
    <t>HEADLINES / OPENERS</t>
  </si>
  <si>
    <t>- Building new futures through skills and knowledge.</t>
  </si>
  <si>
    <t>- An ecosystem designed for people — and built for tomorrow.</t>
  </si>
  <si>
    <t>- Where individuals and companies, grow together.</t>
  </si>
  <si>
    <t>BODY COPY / MIDLINES</t>
  </si>
  <si>
    <t>- At SpecCon, learning isn't about ticking boxes. It's a pathway to real</t>
  </si>
  <si>
    <t xml:space="preserve">  progress.</t>
  </si>
  <si>
    <t>- We combine structure with vision, equipping you with tools that work today</t>
  </si>
  <si>
    <t xml:space="preserve">  while shaping tomorrow.</t>
  </si>
  <si>
    <t>- Whether you're a decision maker or Development Specialist, you belong here.</t>
  </si>
  <si>
    <t>- Our programmes are practical, accessible, and driven by purpose.</t>
  </si>
  <si>
    <t>- We believe that when people thrive, communities and industries thrive too.</t>
  </si>
  <si>
    <t>CLOSINGS / CALLS TO ACTION</t>
  </si>
  <si>
    <t>- Let's build a stronger South Africa — together.</t>
  </si>
  <si>
    <t>- Transformation isn't a moment. It's a journey we walk together.</t>
  </si>
  <si>
    <t xml:space="preserve">                            PHOTOGRAPHY TONE</t>
  </si>
  <si>
    <t>PEOPLE PHOTOGRAPHY</t>
  </si>
  <si>
    <t>The photographic style should be clear, well-lit, and modern, reflecting</t>
  </si>
  <si>
    <t>professionalism and aspiration without feeling staged or artificial.</t>
  </si>
  <si>
    <t>When people are present, images must showcase a diverse mix of cultures,</t>
  </si>
  <si>
    <t>genders, and ages, true to the South African demographic.</t>
  </si>
  <si>
    <t>Individuals should appear confident, approachable, and well-dressed,</t>
  </si>
  <si>
    <t>embodying intelligence and ambition in a way that is relatable and inspiring.</t>
  </si>
  <si>
    <t>Group settings should avoid feeling overcrowded — focus on capturing moments</t>
  </si>
  <si>
    <t>of collaboration, leadership, and learning in spaces that feel structured,</t>
  </si>
  <si>
    <t>positive, and purposeful.</t>
  </si>
  <si>
    <t>CONCEPT PHOTOGRAPHY</t>
  </si>
  <si>
    <t>For imagery that does not include people, visuals should remain current,</t>
  </si>
  <si>
    <t>relevant, and aspirational, particularly when depicting technology, equipment,</t>
  </si>
  <si>
    <t>or environments.</t>
  </si>
  <si>
    <t>Outdated or cluttered imagery undermines the brand's credibility and should</t>
  </si>
  <si>
    <t>be avoided.</t>
  </si>
  <si>
    <t>Every photograph must communicate clarity, friendliness, and forward momentum,</t>
  </si>
  <si>
    <t>reinforcing SpecCon's role as a partner in building South Africa's future.</t>
  </si>
  <si>
    <t>Whether showcasing people or places, the tone is always confident, modern,</t>
  </si>
  <si>
    <t>and optimistic — aligned with the brand's vision of empowerment and progress.</t>
  </si>
  <si>
    <t xml:space="preserve">                          VISUAL TONE &amp; DEVICES</t>
  </si>
  <si>
    <t>VISUAL DEVICES</t>
  </si>
  <si>
    <t>Devices are designed to bring clarity, energy, and focus to communication.</t>
  </si>
  <si>
    <t>Solid colour overlays from the SpecCon palette may be used over photographic</t>
  </si>
  <si>
    <t>elements, chosen carefully to complement the base image and maintain balance</t>
  </si>
  <si>
    <t>between vibrancy and legibility.</t>
  </si>
  <si>
    <t>These overlays serve not only as a design accent but also as a way to unify</t>
  </si>
  <si>
    <t>imagery with the brand's identity.</t>
  </si>
  <si>
    <t>Bold, energetic typography should be used confidently across layouts, ensuring</t>
  </si>
  <si>
    <t>headlines and key messages carry authority while remaining approachable.</t>
  </si>
  <si>
    <t>DYNAMIC COMBINATIONS</t>
  </si>
  <si>
    <t>A combination of solid colour backgrounds with striking typography and</t>
  </si>
  <si>
    <t>photography enhanced with brand-colour overlays should form the core of</t>
  </si>
  <si>
    <t>SpecCon's visual language.</t>
  </si>
  <si>
    <t>Every composition must evoke the brand voice — intelligent, aspirational,</t>
  </si>
  <si>
    <t>structured, and inclusive — by maintaining visual harmony and avoiding clutter.</t>
  </si>
  <si>
    <t>Imagery and design elements should work together to communicate confidence</t>
  </si>
  <si>
    <t>and modernity, reinforcing the message of empowerment and progress that lies</t>
  </si>
  <si>
    <t>at the heart of SpecCon's identity.</t>
  </si>
  <si>
    <t xml:space="preserve">                                ICON BANK</t>
  </si>
  <si>
    <t>UNDERSTATED ENHANCEMENT</t>
  </si>
  <si>
    <t>The icon bank is a curated collection of learning-themed vector icons,</t>
  </si>
  <si>
    <t>supplied in uniform line thickness with an elegant, minimalist design.</t>
  </si>
  <si>
    <t>The icons are crafted to be clear and legible at any scale, ensuring</t>
  </si>
  <si>
    <t>consistent use across both print and digital platforms.</t>
  </si>
  <si>
    <t>Provided in vector format, they are flexible for any application and are</t>
  </si>
  <si>
    <t>intended to integrate seamlessly into layouts without overwhelming other</t>
  </si>
  <si>
    <t>design elements.</t>
  </si>
  <si>
    <t>Their clean, structured aesthetic reflects SpecCon's brand voice — intelligent,</t>
  </si>
  <si>
    <t>modern, and professional — and they should be used wherever iconography is</t>
  </si>
  <si>
    <t>required to maintain visual consistency.</t>
  </si>
  <si>
    <t>Icon categories include:</t>
  </si>
  <si>
    <t>- Education and learning</t>
  </si>
  <si>
    <t>- Business and corporate</t>
  </si>
  <si>
    <t>- Technology and digital</t>
  </si>
  <si>
    <t>- Collaboration and teamwork</t>
  </si>
  <si>
    <t>- Achievement and success</t>
  </si>
  <si>
    <t>- Communication and presentation</t>
  </si>
  <si>
    <t xml:space="preserve">                             SOCIAL MEDIA</t>
  </si>
  <si>
    <t>CONTENT PILLARS AND MIX</t>
  </si>
  <si>
    <t>Content across Instagram, Facebook, and LinkedIn should be intelligent,</t>
  </si>
  <si>
    <t>aspirational, and structured — but never aloof.</t>
  </si>
  <si>
    <t>Posts must use clear South African English, present information simply,</t>
  </si>
  <si>
    <t>and always link learning to opportunity.</t>
  </si>
  <si>
    <t>The tone should balance professionalism with inclusivity: inspiring for</t>
  </si>
  <si>
    <t>partners seeking products, and credible for decision-makers investing in teams.</t>
  </si>
  <si>
    <t>Visuals should be bright, modern, and diverse, reflecting South Africa's</t>
  </si>
  <si>
    <t>demographic while reinforcing SpecCon's confidence and accessibility.</t>
  </si>
  <si>
    <t>THREE CORE CONTENT PILLARS</t>
  </si>
  <si>
    <t>1. EMPOWERMENT THROUGH SKILLS</t>
  </si>
  <si>
    <t>Show how SpecCon enables their partners and organisations to unlock</t>
  </si>
  <si>
    <t>opportunities with SETA-accredited, future-proof learning. Position</t>
  </si>
  <si>
    <t>education as a practical step toward lasting change.</t>
  </si>
  <si>
    <t>2. CREDIBILITY AND PARTNERSHIPS</t>
  </si>
  <si>
    <t>Highlight SpecCon's accreditations, track record with leading brands,</t>
  </si>
  <si>
    <t>Development partners and government entities, and reputation for integrity</t>
  </si>
  <si>
    <t>and up-to-date content. Demonstrate trustworthiness and professionalism.</t>
  </si>
  <si>
    <t>3. TRANSFORMATION AND IMPACT</t>
  </si>
  <si>
    <t>Tell stories of how skills training creates lasting progress — from individual</t>
  </si>
  <si>
    <t>learners advancing careers, to corporates building stronger, future-ready teams.</t>
  </si>
  <si>
    <t>Amplify the long-term societal and economic impact of education.</t>
  </si>
  <si>
    <t>CONTENT FORMATS &amp; CAMPAIGN MIX</t>
  </si>
  <si>
    <t>Campaigns should blend short, high-engagement formats (Reels, text-only tiles,</t>
  </si>
  <si>
    <t>and short clips) with deeper storytelling formats (longer video explainers,</t>
  </si>
  <si>
    <t>interviews, and case studies).</t>
  </si>
  <si>
    <t>A rolling mix of testimonials, quotes, and learner/partner interviews will</t>
  </si>
  <si>
    <t>build trust and relatability. Use short, high impact clips, from long form</t>
  </si>
  <si>
    <t>articles.</t>
  </si>
  <si>
    <t>Interject these with thought-provoking questions tailored for both audiences —</t>
  </si>
  <si>
    <t>Development partners and Corporate decision-makers — to spark conversation</t>
  </si>
  <si>
    <t>and community engagement.</t>
  </si>
  <si>
    <t>Alongside this, promotional content and value-add unlocks (discounts, bundles,</t>
  </si>
  <si>
    <t>or special offers) should be woven in, keeping feeds dynamic and rewarding</t>
  </si>
  <si>
    <t>for followers.</t>
  </si>
  <si>
    <t>PLATFORM-SPECIFIC GUIDELINES</t>
  </si>
  <si>
    <t>INSTAGRAM</t>
  </si>
  <si>
    <t>Target: Individual to Decision-maker influence</t>
  </si>
  <si>
    <t>Format: Carousel posts, Reels, Stories</t>
  </si>
  <si>
    <t>Hashtags: #UpskillSA #SpecCon #LearnWithImpact</t>
  </si>
  <si>
    <t>Sample Caption:</t>
  </si>
  <si>
    <t>Ready to grow? SpecCon offers SETA-accredited online courses and learnerships
aligned with SAQA standards. Is your company ready upskill their teams in IT,
management, safety or work readiness? Our flexible, quality training is built
around your company needs. Ask your employer about SpecCon Learnerships.</t>
  </si>
  <si>
    <t>FACEBOOK</t>
  </si>
  <si>
    <t>Target: Development Partners, Corporate Decision-makers</t>
  </si>
  <si>
    <t>Format: Single images with longer captions, video content</t>
  </si>
  <si>
    <t>Hashtags: #UpskillSA #SpecCon #LearnWithImpact #UnlockExtra</t>
  </si>
  <si>
    <t>If your company is ready to move forward — evaluating Learnerships that don't
add value, or want to partner with the industry leader — it starts with the
right question. 'Is my current Learnership provider adding actual value?'
SpecCon's courses are fully SETA-accredited and aligned with SAQA, so what
your learners gain, doesn't stay theoretical — it counts, it's recognised,
and it helps open real doors.</t>
  </si>
  <si>
    <t>LINKEDIN</t>
  </si>
  <si>
    <t>Target: Corporate Decision-makers, HR Professionals</t>
  </si>
  <si>
    <t>Format: Professional imagery, thought leadership posts</t>
  </si>
  <si>
    <t>Sample Post:</t>
  </si>
  <si>
    <t>As a decision maker responsible for training large teams in highly specialised
or technical skills, you need a partner whose credibility, quality, and delivery
you can trust. SpecCon is accredited by multiple SETAs, aligned with SAQA and
QCTO frameworks. This means all our learning offerings meet nationally recognised
standards — ensuring compliance, consistency, and relevance.</t>
  </si>
  <si>
    <t xml:space="preserve">                            VISUAL EXAMPLES</t>
  </si>
  <si>
    <t>The brand guide includes examples of:</t>
  </si>
  <si>
    <t>- Prospectus Cover (2026)</t>
  </si>
  <si>
    <t>All visual materials should incorporate:</t>
  </si>
  <si>
    <t>- Brand colours (Navy Blue #12265E, Orange #FFA600)</t>
  </si>
  <si>
    <t>- Clean, modern photography</t>
  </si>
  <si>
    <t xml:space="preserve">                          SUBSIDIARY BRANDS</t>
  </si>
  <si>
    <t>SpecCon Holdings encompasses the following subsidiary brands:</t>
  </si>
  <si>
    <t>These logos may appear alongside the main SpecCon Holdings logo on corporate</t>
  </si>
  <si>
    <t>materials, prospectuses, and presentations.</t>
  </si>
  <si>
    <t xml:space="preserve">                        SPECCON ACADEMY BRAND GUIDE</t>
  </si>
  <si>
    <t xml:space="preserve">                              November 2025</t>
  </si>
  <si>
    <t>TABLE OF CONTENTS</t>
  </si>
  <si>
    <t>-----------------</t>
  </si>
  <si>
    <t>1. Brand Overview</t>
  </si>
  <si>
    <t>2. Colour Palette</t>
  </si>
  <si>
    <t>3. Typography</t>
  </si>
  <si>
    <t>4. Logo Usage</t>
  </si>
  <si>
    <t>5. Imagery Direction</t>
  </si>
  <si>
    <t>6. Layout &amp; Graphic Devices</t>
  </si>
  <si>
    <t>7. Brand Voice &amp; Tone</t>
  </si>
  <si>
    <t>8. Icon Guidelines</t>
  </si>
  <si>
    <t>1. BRAND OVERVIEW</t>
  </si>
  <si>
    <t>VISION</t>
  </si>
  <si>
    <t>------</t>
  </si>
  <si>
    <t>To inspire a new generation of confident, capable learners by removing barriers</t>
  </si>
  <si>
    <t>to learning and equip them with the skills, values, and vision to thrive in</t>
  </si>
  <si>
    <t>tomorrow's world.</t>
  </si>
  <si>
    <t>MISSION</t>
  </si>
  <si>
    <t>-------</t>
  </si>
  <si>
    <t>SpecCon Academy centres learners at every stage of their educational journey.</t>
  </si>
  <si>
    <t>We partner with schools and families to deliver curriculum-aligned, barrier-free,</t>
  </si>
  <si>
    <t>and meaningful learning experiences — from early childhood to matric and beyond.</t>
  </si>
  <si>
    <t>We curate high-quality content, digital tools, and passionate educators, to make</t>
  </si>
  <si>
    <t>learning personal, practical, and powerful.</t>
  </si>
  <si>
    <t>CORE VALUES</t>
  </si>
  <si>
    <t>-----------</t>
  </si>
  <si>
    <t>• Curiosity    – We nurture a love for learning in every child.</t>
  </si>
  <si>
    <t>• Trust        – We honour the trust of families and schools in all we do.</t>
  </si>
  <si>
    <t>• Growth       – Learning is a journey. We celebrate progress, not just results.</t>
  </si>
  <si>
    <t>• Relevance    – Content is current, local, and aligned with learners' real-world needs.</t>
  </si>
  <si>
    <t>• Learner Centricity – We meet learners where they are and form ourselves around their needs.</t>
  </si>
  <si>
    <t>• Excellence   – We believe in high standards — in content, service, and results.</t>
  </si>
  <si>
    <t>2. COLOUR PALETTE</t>
  </si>
  <si>
    <t>---------------</t>
  </si>
  <si>
    <t>ATLANTIC BLUE (Primary Brand Colour)</t>
  </si>
  <si>
    <t xml:space="preserve">  Hex:  #008998</t>
  </si>
  <si>
    <t xml:space="preserve">  RGB:  0, 137, 152</t>
  </si>
  <si>
    <t xml:space="preserve">  HSL:  184°, 100%, 59%</t>
  </si>
  <si>
    <t xml:space="preserve">  CMYK: 80%, 20%, 30%, 15%</t>
  </si>
  <si>
    <t>DEEP OCEAN</t>
  </si>
  <si>
    <t xml:space="preserve">  Hex:  #00343C</t>
  </si>
  <si>
    <t xml:space="preserve">  RGB:  0, 52, 60</t>
  </si>
  <si>
    <t xml:space="preserve">  HSL:  187°, 100%, 24%</t>
  </si>
  <si>
    <t xml:space="preserve">  CMYK: 80%, 20%, 30%, 80%</t>
  </si>
  <si>
    <t>TITANIUM</t>
  </si>
  <si>
    <t xml:space="preserve">  Hex:  #304040</t>
  </si>
  <si>
    <t xml:space="preserve">  RGB:  48, 65, 64</t>
  </si>
  <si>
    <t xml:space="preserve">  HSL:  180°, 14%, 22%</t>
  </si>
  <si>
    <t xml:space="preserve">  CMYK: 25%, 0%, 0%, 75%</t>
  </si>
  <si>
    <t xml:space="preserve">  Hex:  #FFFFFF</t>
  </si>
  <si>
    <t xml:space="preserve">  RGB:  255, 255, 255</t>
  </si>
  <si>
    <t xml:space="preserve">  HSL:  0°, 0%, 100%</t>
  </si>
  <si>
    <t xml:space="preserve">  CMYK: 0%, 0%, 0%, 0%</t>
  </si>
  <si>
    <t>SECONDARY/TINTS</t>
  </si>
  <si>
    <t>Tints of Titanium (#304040) can be used for backgrounds and overlays.</t>
  </si>
  <si>
    <t xml:space="preserve">  Example Tint: RGB 146, 171, 196 | HSL 210°, 30%, 67% | CMYK 26%, 13%, 0%, 23%</t>
  </si>
  <si>
    <t>COLOUR USAGE NOTES</t>
  </si>
  <si>
    <t>------------------</t>
  </si>
  <si>
    <t>• Atlantic Blue is the primary brand colour - use prominently</t>
  </si>
  <si>
    <t>• Titanium tints can be used at various transparency levels for overlays</t>
  </si>
  <si>
    <t>• Deep Ocean works well for text and dark accents</t>
  </si>
  <si>
    <t>• White is used for reversed logos and light backgrounds</t>
  </si>
  <si>
    <t>3. TYPOGRAPHY</t>
  </si>
  <si>
    <t>PRIMARY TYPEFACES</t>
  </si>
  <si>
    <t>HARABARA (Impact/Display Usage)</t>
  </si>
  <si>
    <t xml:space="preserve">  Use for: Headlines, hero text, major callouts, impactful statements</t>
  </si>
  <si>
    <t xml:space="preserve">  Character: Bold, modern, friendly</t>
  </si>
  <si>
    <t xml:space="preserve">  ABCDEFGHIJKLMNOPQRSTUVWXYZ</t>
  </si>
  <si>
    <t xml:space="preserve">  abcdefghijklmnopqrstuvwxyz</t>
  </si>
  <si>
    <t>ROBOTO (Wide/Body Usage)</t>
  </si>
  <si>
    <t xml:space="preserve">  Weights: Regular, Bold, Thin, Light</t>
  </si>
  <si>
    <t xml:space="preserve">  Use for: Body copy, subheadings, UI elements, general text</t>
  </si>
  <si>
    <t xml:space="preserve">  Character: Clean, readable, versatile</t>
  </si>
  <si>
    <t xml:space="preserve">  ABCDEFGHJIKLMNOPQRSTUVWXYZ</t>
  </si>
  <si>
    <t xml:space="preserve">  abcdefghjiklmnopqrstuvwxyz</t>
  </si>
  <si>
    <t>TYPOGRAPHY GUIDELINES</t>
  </si>
  <si>
    <t>---------------------</t>
  </si>
  <si>
    <t>• Headlines: Harabara - bold and energetic, always legible</t>
  </si>
  <si>
    <t>• Body text: Roboto Regular or Light</t>
  </si>
  <si>
    <t>• Emphasis: Roboto Bold</t>
  </si>
  <si>
    <t>• Avoid overly corporate or cluttered text layouts</t>
  </si>
  <si>
    <t>• Keep text hierarchy clear and consistent</t>
  </si>
  <si>
    <t>4. LOGO USAGE</t>
  </si>
  <si>
    <t>LOGO DESCRIPTION</t>
  </si>
  <si>
    <t>----------------</t>
  </si>
  <si>
    <t>The SpecCon Academy logo features an owl icon wearing a graduation cap,</t>
  </si>
  <si>
    <t>symbolising wisdom, learning, and academic achievement. The owl sits above</t>
  </si>
  <si>
    <t>the wordmark "speccon|academy" with a subtle shadow/reflection beneath.</t>
  </si>
  <si>
    <t>-------------</t>
  </si>
  <si>
    <t>1. STANDARD          - Atlantic Blue owl on light background</t>
  </si>
  <si>
    <t>2. REVERSED          - Dark owl on Atlantic Blue background</t>
  </si>
  <si>
    <t>3. LANDSCAPE RESTACK - Horizontal layout with owl beside wordmark</t>
  </si>
  <si>
    <t>4. ICON ONLY         - Owl icon without wordmark (use sparingly)</t>
  </si>
  <si>
    <t>ACCEPTABLE USES</t>
  </si>
  <si>
    <t>✓ Standard vertical logo on light backgrounds</t>
  </si>
  <si>
    <t>✓ Reversed logo on Atlantic Blue backgrounds</t>
  </si>
  <si>
    <t>✓ Landscape restack for horizontal spaces</t>
  </si>
  <si>
    <t>✓ Icon only (sparingly, where brand is already established)</t>
  </si>
  <si>
    <t>DO NOT</t>
  </si>
  <si>
    <t>✗ Do not tilt or rotate the logo</t>
  </si>
  <si>
    <t>✗ Do not rearrange logo elements</t>
  </si>
  <si>
    <t>✗ Do not alter the colours</t>
  </si>
  <si>
    <t>✗ Do not reverse the logo in white</t>
  </si>
  <si>
    <t>✗ Do not stretch or distort proportions</t>
  </si>
  <si>
    <t>5. IMAGERY DIRECTION</t>
  </si>
  <si>
    <t>PHOTOGRAPHY GUIDELINES - PEOPLE</t>
  </si>
  <si>
    <t>-------------------------------</t>
  </si>
  <si>
    <t>• Children should look engaged, curious, and supported</t>
  </si>
  <si>
    <t>• Avoid overly staged or artificial-looking images</t>
  </si>
  <si>
    <t>• Reflect South Africa's diversity across age, culture, and context</t>
  </si>
  <si>
    <t>• Show learners or teachers in real classrooms</t>
  </si>
  <si>
    <t>• Include images of digital tool usage (tablets, laptops)</t>
  </si>
  <si>
    <t>• Show caring educators engaging with students</t>
  </si>
  <si>
    <t>• Consider including satisfied parents</t>
  </si>
  <si>
    <t>PHOTOGRAPHY GUIDELINES - CONCEPTS</t>
  </si>
  <si>
    <t>---------------------------------</t>
  </si>
  <si>
    <t>• Show aspirational learning environments</t>
  </si>
  <si>
    <t>• Environments should be bright, welcoming, and safe</t>
  </si>
  <si>
    <t>• Include visual cues such as:</t>
  </si>
  <si>
    <t xml:space="preserve">  - Books and educational materials</t>
  </si>
  <si>
    <t xml:space="preserve">  - Tablets and digital devices</t>
  </si>
  <si>
    <t xml:space="preserve">  - Teamwork and collaboration</t>
  </si>
  <si>
    <t xml:space="preserve">  - Science kits and hands-on learning</t>
  </si>
  <si>
    <t xml:space="preserve">  - Creative activities</t>
  </si>
  <si>
    <t xml:space="preserve">  - Satisfied, engaged parents</t>
  </si>
  <si>
    <t>OVERALL IMAGE TONE</t>
  </si>
  <si>
    <t>• Warm and authentic, not cold or corporate</t>
  </si>
  <si>
    <t>• Modern and forward-looking</t>
  </si>
  <si>
    <t>• Inclusive and representative of South African diversity</t>
  </si>
  <si>
    <t>• Joyful learning without being overly playful</t>
  </si>
  <si>
    <t>• Professional but approachable</t>
  </si>
  <si>
    <t>6. LAYOUT &amp; GRAPHIC DEVICES</t>
  </si>
  <si>
    <t>GRAPHIC DEVICE 1: VERTICAL PANELS</t>
  </si>
  <si>
    <t>• Two-panel layout: Titanium tint panel + Atlantic Blue logo panel</t>
  </si>
  <si>
    <t>• Always anchor the Atlantic Blue panel to BOTTOM RIGHT</t>
  </si>
  <si>
    <t>• Keep bottom corners square, top corners rounded</t>
  </si>
  <si>
    <t>• DO NOT STRETCH - maintain proportions</t>
  </si>
  <si>
    <t>• Titanium tint can be % transparent if required</t>
  </si>
  <si>
    <t>• Use for: Feature headlines, benefits, salient points (centre aligned)</t>
  </si>
  <si>
    <t>GRAPHIC DEVICE 2: HORIZONTAL BARS</t>
  </si>
  <si>
    <t>• Horizontal layout with Atlantic Blue logo block on right</t>
  </si>
  <si>
    <t>• Always anchor the logo block to BOTTOM RIGHT</t>
  </si>
  <si>
    <t>• Keep proportions as per guide - DO NOT STRETCH</t>
  </si>
  <si>
    <t>• Bottom corners square, rounded corners on inner edges</t>
  </si>
  <si>
    <t>• Use for: Headline type areas, banners</t>
  </si>
  <si>
    <t>GRAPHIC DEVICE 3: TAB</t>
  </si>
  <si>
    <t>• Small logo tab anchored to TOP RIGHT</t>
  </si>
  <si>
    <t>• Use SPARINGLY</t>
  </si>
  <si>
    <t>• Maintains brand presence without dominating</t>
  </si>
  <si>
    <t>GRAPHIC DEVICE 4: DOODLES</t>
  </si>
  <si>
    <t>-------------------------</t>
  </si>
  <si>
    <t>• Doodle-style graphic pattern available for texture</t>
  </si>
  <si>
    <t>• Use sparingly as an overlay for outward-facing materials</t>
  </si>
  <si>
    <t>• Apply over blank fields/backgrounds</t>
  </si>
  <si>
    <t>• Features educational icons: books, pencils, lightbulbs, etc.</t>
  </si>
  <si>
    <t>GENERAL LAYOUT PRINCIPLES</t>
  </si>
  <si>
    <t>• Let the Atlantic Blue/Teal lead in visual impact</t>
  </si>
  <si>
    <t>• Goal is to "own" this colour in the education space</t>
  </si>
  <si>
    <t>• Icons should be soft, rounded, and age-appropriate</t>
  </si>
  <si>
    <t>• Keep headlines bold and energetic, always legible</t>
  </si>
  <si>
    <t>• Avoid overly corporate or cluttered visuals</t>
  </si>
  <si>
    <t>• Dynamic combinations of solid colour backgrounds with striking typography</t>
  </si>
  <si>
    <t>• Photography enhanced with brand colour overlays forms the core visual language</t>
  </si>
  <si>
    <t>7. BRAND VOICE &amp; TONE</t>
  </si>
  <si>
    <t>SpecCon Academy speaks like a trusted school partner — warm, clear, and helpful.</t>
  </si>
  <si>
    <t>Serious about quality education but always child- and parent-friendly and</t>
  </si>
  <si>
    <t>age-category appropriate.</t>
  </si>
  <si>
    <t>--------------</t>
  </si>
  <si>
    <t>• Clear and helpful: Whether parent or principal, our language makes sense</t>
  </si>
  <si>
    <t>• Supportive and nurturing: We talk TO, not AT our readers</t>
  </si>
  <si>
    <t>• Future-facing: We help families and schools prepare children for what's next</t>
  </si>
  <si>
    <t>• Local and real: We use South African English and reflect real learners' lives</t>
  </si>
  <si>
    <t>TONE BY AUDIENCE</t>
  </si>
  <si>
    <t>FOR SCHOOLS:    Clear, solution-focused, values-aligned. Straight at pain points.</t>
  </si>
  <si>
    <t>FOR PARENTS:    Supportive, approachable, trustworthy.</t>
  </si>
  <si>
    <t>FOR LEARNERS:   Uplifting, affirming, engaging (especially in visual tone &amp; UX).</t>
  </si>
  <si>
    <t>VOICE - DO</t>
  </si>
  <si>
    <t>----------</t>
  </si>
  <si>
    <t>• Speak plainly in South African English</t>
  </si>
  <si>
    <t>• Use positive and active language</t>
  </si>
  <si>
    <t>• Explain real benefits to children and schools</t>
  </si>
  <si>
    <t>• Break down complex ideas into simple steps</t>
  </si>
  <si>
    <t>• Use aspirational language without exaggeration</t>
  </si>
  <si>
    <t>VOICE - AVOID</t>
  </si>
  <si>
    <t>• Formal jargon ("compliance frameworks," "learner pipelines")</t>
  </si>
  <si>
    <t>• Technical language or unnecessary detail</t>
  </si>
  <si>
    <t>• Overpromising or talking down to readers</t>
  </si>
  <si>
    <t>• Speaking only to schools — always keep parents in mind</t>
  </si>
  <si>
    <t>• Universal language that's condescending to older learners or too</t>
  </si>
  <si>
    <t xml:space="preserve">  complicated for younger learners</t>
  </si>
  <si>
    <t>8. ICON GUIDELINES</t>
  </si>
  <si>
    <t>AGE GROUP 1: ICONS FOR CHILDREN AGES 6-10</t>
  </si>
  <si>
    <t>-----------------------------------------</t>
  </si>
  <si>
    <t>Style: Softer, playful visual language while remaining neat and structured</t>
  </si>
  <si>
    <t>Characteristics:</t>
  </si>
  <si>
    <t>• Rounded silhouettes and gentle curves</t>
  </si>
  <si>
    <t>• Light, friendly expressions or character-like cues (optional, subtle)</t>
  </si>
  <si>
    <t>• Simplified shapes for quick recognition</t>
  </si>
  <si>
    <t>• Slightly thicker line weight for visibility on tablets/printed worksheets</t>
  </si>
  <si>
    <t>• Familiar school-related themes: books, pencils, stars, speech bubbles,</t>
  </si>
  <si>
    <t xml:space="preserve">  magnifying glasses, check marks, shapes, numbers</t>
  </si>
  <si>
    <t>Tone: Fun, positive, inviting — never loud or overly animated</t>
  </si>
  <si>
    <t>Purpose: Supports engagement and clarity for emerging readers and young</t>
  </si>
  <si>
    <t>learners navigating digital spaces for the first time.</t>
  </si>
  <si>
    <t>AGE GROUP 2: ICONS FOR STUDENTS AGES 13-18</t>
  </si>
  <si>
    <t>------------------------------------------</t>
  </si>
  <si>
    <t>Style: Cleaner, more mature aesthetic that still aligns with Academy's</t>
  </si>
  <si>
    <t>approachability</t>
  </si>
  <si>
    <t>• Sharper but still friendly lines</t>
  </si>
  <si>
    <t>• More geometric, less rounded shapes</t>
  </si>
  <si>
    <t>• Contemporary academic themes: laptops, subject symbols, planners,</t>
  </si>
  <si>
    <t xml:space="preserve">  learning paths, progress indicators, science/tech motifs</t>
  </si>
  <si>
    <t>• Visual cues that feel modern rather than juvenile</t>
  </si>
  <si>
    <t>• Line weight slightly refined for a "grown-up" tech-forward feel</t>
  </si>
  <si>
    <t>Tone: Focused, capable, independent</t>
  </si>
  <si>
    <t>Purpose: Mirrors the mindset of older learners while maintaining visual</t>
  </si>
  <si>
    <t>continuity with the younger set and the wider SpecCon brand.</t>
  </si>
  <si>
    <t>SAMPLE PHRASES &amp; TAGLINES</t>
  </si>
  <si>
    <t>-------------------</t>
  </si>
  <si>
    <t>• Learning that grows with your child</t>
  </si>
  <si>
    <t>• A learning journey built around them</t>
  </si>
  <si>
    <t>• Made for learners. Loved by Schools</t>
  </si>
  <si>
    <t>• The smarter way to support your school community</t>
  </si>
  <si>
    <t>• Because every child deserves to thrive</t>
  </si>
  <si>
    <t>--------------------</t>
  </si>
  <si>
    <t>• SpecCon Academy makes high-quality learning personal and practical.</t>
  </si>
  <si>
    <t>• Whether you're in a school of 500 or homeschooling just one — our tools</t>
  </si>
  <si>
    <t xml:space="preserve">  are made with you in mind.</t>
  </si>
  <si>
    <t>• We believe in joyful learning, measurable progress, and building</t>
  </si>
  <si>
    <t xml:space="preserve">  confident minds.</t>
  </si>
  <si>
    <t>• Our content is curriculum-aligned, SAQA-recognised, and locally relevant.</t>
  </si>
  <si>
    <t>--------------------------</t>
  </si>
  <si>
    <t>• Give your learners a head start — with a partner you can trust.</t>
  </si>
  <si>
    <t>• Ready to elevate your school community? Let's talk.</t>
  </si>
  <si>
    <t>• Join the Academy that grows confident learners.</t>
  </si>
  <si>
    <t>• Let's make learning unforgettable — together.</t>
  </si>
  <si>
    <t>QUICK REFERENCE CARD</t>
  </si>
  <si>
    <t>COLOURS (HEX)</t>
  </si>
  <si>
    <t xml:space="preserve">  Primary:    #008998 (Atlantic Blue)</t>
  </si>
  <si>
    <t xml:space="preserve">  Dark:       #00343C (Deep Ocean)</t>
  </si>
  <si>
    <t xml:space="preserve">  Neutral:    #304040 (Titanium)</t>
  </si>
  <si>
    <t xml:space="preserve">  Light:      #FFFFFF (White)</t>
  </si>
  <si>
    <t>FONTS</t>
  </si>
  <si>
    <t xml:space="preserve">  Headlines:  Harabara</t>
  </si>
  <si>
    <t xml:space="preserve">  Body:       Roboto (Regular, Bold, Light, Thin)</t>
  </si>
  <si>
    <t>LOGO</t>
  </si>
  <si>
    <t xml:space="preserve">  Standard on light, Reversed on teal, Never white, Never tilted</t>
  </si>
  <si>
    <t>IMAGERY</t>
  </si>
  <si>
    <t xml:space="preserve">  Authentic, diverse, South African, engaged learners, bright environments</t>
  </si>
  <si>
    <t>VOICE</t>
  </si>
  <si>
    <t xml:space="preserve">  Warm, clear, helpful, South African English, supportive</t>
  </si>
  <si>
    <t>Take the applicable brand guide text, and put into a text file and put that into your project files</t>
  </si>
  <si>
    <t>Use the brand guide text file (Insert path, for example "C:\Users\Asus\OneDrive - Speccon Holdings (Pty) Ltd\Software Development\Projects v2\Performance Management\SpecCon Brand Guide - Text Version.txt"), and make sure the program looks like the brand guide specifies</t>
  </si>
  <si>
    <t>- Headers must be on top</t>
  </si>
  <si>
    <t>- Notification icon must be top right for all system notifications</t>
  </si>
  <si>
    <t>- New releases star icone where we will list new features and big fixes. And if somebody clicks on it, show detail of what is released</t>
  </si>
  <si>
    <t>- Profile icon must be on top right, and applicable role for user. Don’t show user email or the word "profile"</t>
  </si>
  <si>
    <t>Add the admin functions for the admin role. First one is user management. See a list features and roles. Roles should be on top, and then admin can tick boxes on what should be available for each user</t>
  </si>
  <si>
    <t>Seed data</t>
  </si>
  <si>
    <t>if it’s a prototyoe system, then create seeddata, which can be changed if people used it to reset to to ensure the system can be tested with live data</t>
  </si>
  <si>
    <t>Rules</t>
  </si>
  <si>
    <t>firebase deploy --only firestore:rules</t>
  </si>
  <si>
    <r>
      <t>Name:</t>
    </r>
    <r>
      <rPr>
        <sz val="11"/>
        <color theme="1"/>
        <rFont val="Calibri"/>
        <family val="2"/>
        <scheme val="minor"/>
      </rPr>
      <t xml:space="preserve"> Trou Idees</t>
    </r>
  </si>
  <si>
    <r>
      <t>Tagline:</t>
    </r>
    <r>
      <rPr>
        <sz val="11"/>
        <color theme="1"/>
        <rFont val="Calibri"/>
        <family val="2"/>
        <scheme val="minor"/>
      </rPr>
      <t xml:space="preserve"> </t>
    </r>
    <r>
      <rPr>
        <i/>
        <sz val="11"/>
        <color theme="1"/>
        <rFont val="Calibri"/>
        <family val="2"/>
        <scheme val="minor"/>
      </rPr>
      <t>Your partner in wedding planning</t>
    </r>
  </si>
  <si>
    <t>Core purpose:</t>
  </si>
  <si>
    <t>To guide and inspire couples – from engagement, through wedding planning, into marriage and everyday lifestyle.</t>
  </si>
  <si>
    <t>Brand promise:</t>
  </si>
  <si>
    <t>You don’t have to go through the planning and emotions of your wedding day and marriage alone – Trou Idees walks the journey with you like a trusted friend.</t>
  </si>
  <si>
    <t>2. Brand Essence</t>
  </si>
  <si>
    <t>2.1 Mission</t>
  </si>
  <si>
    <r>
      <t xml:space="preserve">Help couples create a </t>
    </r>
    <r>
      <rPr>
        <b/>
        <sz val="11"/>
        <color theme="1"/>
        <rFont val="Calibri"/>
        <family val="2"/>
        <scheme val="minor"/>
      </rPr>
      <t>beautiful, meaningful</t>
    </r>
    <r>
      <rPr>
        <sz val="11"/>
        <color theme="1"/>
        <rFont val="Calibri"/>
        <family val="2"/>
        <scheme val="minor"/>
      </rPr>
      <t xml:space="preserve"> wedding day.</t>
    </r>
  </si>
  <si>
    <r>
      <t xml:space="preserve">Encourage couples to invest </t>
    </r>
    <r>
      <rPr>
        <b/>
        <sz val="11"/>
        <color theme="1"/>
        <rFont val="Calibri"/>
        <family val="2"/>
        <scheme val="minor"/>
      </rPr>
      <t>more in their marriage than only their wedding day</t>
    </r>
    <r>
      <rPr>
        <sz val="11"/>
        <color theme="1"/>
        <rFont val="Calibri"/>
        <family val="2"/>
        <scheme val="minor"/>
      </rPr>
      <t>, with God at the center.</t>
    </r>
  </si>
  <si>
    <t>2.2 Values</t>
  </si>
  <si>
    <r>
      <t>1. Faith &amp; Foundation</t>
    </r>
    <r>
      <rPr>
        <sz val="11"/>
        <color theme="1"/>
        <rFont val="Calibri"/>
        <family val="2"/>
        <scheme val="minor"/>
      </rPr>
      <t xml:space="preserve"> – God as the steering wheel in the marriage.</t>
    </r>
  </si>
  <si>
    <r>
      <t>2. Community &amp; Support</t>
    </r>
    <r>
      <rPr>
        <sz val="11"/>
        <color theme="1"/>
        <rFont val="Calibri"/>
        <family val="2"/>
        <scheme val="minor"/>
      </rPr>
      <t xml:space="preserve"> – A space where brides can ask questions (even anonymously) and feel heard and understood.</t>
    </r>
  </si>
  <si>
    <r>
      <t>3. Romantic but Realistic</t>
    </r>
    <r>
      <rPr>
        <sz val="11"/>
        <color theme="1"/>
        <rFont val="Calibri"/>
        <family val="2"/>
        <scheme val="minor"/>
      </rPr>
      <t xml:space="preserve"> – Yes, the day matters, but what happens in 5, 10 or 50 years matters more.</t>
    </r>
  </si>
  <si>
    <r>
      <t>4. Practical Guidance</t>
    </r>
    <r>
      <rPr>
        <sz val="11"/>
        <color theme="1"/>
        <rFont val="Calibri"/>
        <family val="2"/>
        <scheme val="minor"/>
      </rPr>
      <t xml:space="preserve"> – Checklists, ideas, colour schemes, suppliers, recipes and real help.</t>
    </r>
  </si>
  <si>
    <r>
      <t>5. Authentically South African &amp; Afrikaans-based</t>
    </r>
    <r>
      <rPr>
        <sz val="11"/>
        <color theme="1"/>
        <rFont val="Calibri"/>
        <family val="2"/>
        <scheme val="minor"/>
      </rPr>
      <t xml:space="preserve"> – Rooted in local context and suppliers, with strong Afrikaans identity.</t>
    </r>
  </si>
  <si>
    <t>2.3 Brand Personality</t>
  </si>
  <si>
    <t>Trou Idees should feel like:</t>
  </si>
  <si>
    <r>
      <t xml:space="preserve">A </t>
    </r>
    <r>
      <rPr>
        <b/>
        <sz val="11"/>
        <color theme="1"/>
        <rFont val="Calibri"/>
        <family val="2"/>
        <scheme val="minor"/>
      </rPr>
      <t>warm, friendly friend</t>
    </r>
    <r>
      <rPr>
        <sz val="11"/>
        <color theme="1"/>
        <rFont val="Calibri"/>
        <family val="2"/>
        <scheme val="minor"/>
      </rPr>
      <t xml:space="preserve"> (like a bridesmaid or big sister).</t>
    </r>
  </si>
  <si>
    <r>
      <t>Encouraging and hopeful</t>
    </r>
    <r>
      <rPr>
        <sz val="11"/>
        <color theme="1"/>
        <rFont val="Calibri"/>
        <family val="2"/>
        <scheme val="minor"/>
      </rPr>
      <t>, never harsh or judgmental.</t>
    </r>
  </si>
  <si>
    <r>
      <t>Faith-based</t>
    </r>
    <r>
      <rPr>
        <sz val="11"/>
        <color theme="1"/>
        <rFont val="Calibri"/>
        <family val="2"/>
        <scheme val="minor"/>
      </rPr>
      <t>, but not preachy.</t>
    </r>
  </si>
  <si>
    <r>
      <t>Organised but flexible</t>
    </r>
    <r>
      <rPr>
        <sz val="11"/>
        <color theme="1"/>
        <rFont val="Calibri"/>
        <family val="2"/>
        <scheme val="minor"/>
      </rPr>
      <t xml:space="preserve"> – structured guidance without feeling rigid.</t>
    </r>
  </si>
  <si>
    <r>
      <t>Romantic and elegant</t>
    </r>
    <r>
      <rPr>
        <sz val="11"/>
        <color theme="1"/>
        <rFont val="Calibri"/>
        <family val="2"/>
        <scheme val="minor"/>
      </rPr>
      <t>, but still down-to-earth and approachable.</t>
    </r>
  </si>
  <si>
    <t>3. Target Audience</t>
  </si>
  <si>
    <t>3.1 Primary Audience</t>
  </si>
  <si>
    <t>Afrikaans-speaking brides (and couples), mostly female-focused.</t>
  </si>
  <si>
    <r>
      <t xml:space="preserve">Age range: roughly </t>
    </r>
    <r>
      <rPr>
        <b/>
        <sz val="11"/>
        <color theme="1"/>
        <rFont val="Calibri"/>
        <family val="2"/>
        <scheme val="minor"/>
      </rPr>
      <t>22–35</t>
    </r>
    <r>
      <rPr>
        <sz val="11"/>
        <color theme="1"/>
        <rFont val="Calibri"/>
        <family val="2"/>
        <scheme val="minor"/>
      </rPr>
      <t>.</t>
    </r>
  </si>
  <si>
    <t>Christian or faith-oriented couples who want God to be part of their marriage journey.</t>
  </si>
  <si>
    <t>3.2 Secondary Audience</t>
  </si>
  <si>
    <t>Married women who already had their wedding, but still want content around:</t>
  </si>
  <si>
    <t>Relationships, marriage, pregnancy, motherhood, lifestyle.</t>
  </si>
  <si>
    <t>Wedding vendors:</t>
  </si>
  <si>
    <t>Venues, décor, caterers, photographers, etc. who may want to advertise or feature on the platform.</t>
  </si>
  <si>
    <t>4. Visual Identity</t>
  </si>
  <si>
    <r>
      <t xml:space="preserve">Note: I don’t have your original design files, so these colours and fonts are </t>
    </r>
    <r>
      <rPr>
        <b/>
        <sz val="11"/>
        <color theme="1"/>
        <rFont val="Calibri"/>
        <family val="2"/>
        <scheme val="minor"/>
      </rPr>
      <t>recommendations</t>
    </r>
    <r>
      <rPr>
        <sz val="11"/>
        <color theme="1"/>
        <rFont val="Calibri"/>
        <family val="2"/>
        <scheme val="minor"/>
      </rPr>
      <t xml:space="preserve"> based on your industry and feel. They can be adjusted to match your existing logo exactly.</t>
    </r>
  </si>
  <si>
    <t>4.1 Logo Guidelines</t>
  </si>
  <si>
    <t>Primary use:</t>
  </si>
  <si>
    <r>
      <t xml:space="preserve">Logo on a </t>
    </r>
    <r>
      <rPr>
        <b/>
        <sz val="11"/>
        <color theme="1"/>
        <rFont val="Calibri"/>
        <family val="2"/>
        <scheme val="minor"/>
      </rPr>
      <t>light background</t>
    </r>
    <r>
      <rPr>
        <sz val="11"/>
        <color theme="1"/>
        <rFont val="Calibri"/>
        <family val="2"/>
        <scheme val="minor"/>
      </rPr>
      <t xml:space="preserve"> (white or soft ivory).</t>
    </r>
  </si>
  <si>
    <t>Enough breathing room around it – at least the height of the “T” in “Trou” as padding on all sides.</t>
  </si>
  <si>
    <t>Secondary use:</t>
  </si>
  <si>
    <t>Single-colour version (solid dark) for:</t>
  </si>
  <si>
    <t>Watermarks</t>
  </si>
  <si>
    <t>Invoices</t>
  </si>
  <si>
    <t>Documents</t>
  </si>
  <si>
    <t>Social profile: a simplified or circular version of the logo.</t>
  </si>
  <si>
    <t>Do not:</t>
  </si>
  <si>
    <t>Do not stretch or distort the logo.</t>
  </si>
  <si>
    <t>Do not change the colours to very bright or neon tones.</t>
  </si>
  <si>
    <t>Do not place text or graphics too close to the logo.</t>
  </si>
  <si>
    <t>4.2 Colour Palette</t>
  </si>
  <si>
    <t>Suggested core palette for a romantic, faith-rooted wedding brand:</t>
  </si>
  <si>
    <t>Role</t>
  </si>
  <si>
    <t>Name</t>
  </si>
  <si>
    <t>Hex</t>
  </si>
  <si>
    <t>Typical use</t>
  </si>
  <si>
    <t>Primary dark</t>
  </si>
  <si>
    <t>Charcoal</t>
  </si>
  <si>
    <t>#191919</t>
  </si>
  <si>
    <t>Main text, icons, button text.</t>
  </si>
  <si>
    <t>Light background</t>
  </si>
  <si>
    <t>Soft Ivory</t>
  </si>
  <si>
    <t>#FFF8F2</t>
  </si>
  <si>
    <t>Page backgrounds, sections, documents.</t>
  </si>
  <si>
    <t>Romantic accent</t>
  </si>
  <si>
    <t>Blush Rose</t>
  </si>
  <si>
    <t>#F9E3E8</t>
  </si>
  <si>
    <t>Buttons, highlights, banners, subtle background blocks.</t>
  </si>
  <si>
    <t>Deep accent</t>
  </si>
  <si>
    <t>Deep Wine</t>
  </si>
  <si>
    <t>#5C1225</t>
  </si>
  <si>
    <t>Important headings, strong CTAs, key highlights.</t>
  </si>
  <si>
    <t>Metallic accent</t>
  </si>
  <si>
    <t>Rose Gold</t>
  </si>
  <si>
    <t>#C48A7A</t>
  </si>
  <si>
    <t>Lines, borders, small decorative elements.</t>
  </si>
  <si>
    <t>Usage rules:</t>
  </si>
  <si>
    <r>
      <t xml:space="preserve">Keep backgrounds </t>
    </r>
    <r>
      <rPr>
        <b/>
        <sz val="11"/>
        <color theme="1"/>
        <rFont val="Calibri"/>
        <family val="2"/>
        <scheme val="minor"/>
      </rPr>
      <t>soft and light</t>
    </r>
    <r>
      <rPr>
        <sz val="11"/>
        <color theme="1"/>
        <rFont val="Calibri"/>
        <family val="2"/>
        <scheme val="minor"/>
      </rPr>
      <t>, with charcoal for readability.</t>
    </r>
  </si>
  <si>
    <r>
      <t xml:space="preserve">Use blush and rose gold as </t>
    </r>
    <r>
      <rPr>
        <b/>
        <sz val="11"/>
        <color theme="1"/>
        <rFont val="Calibri"/>
        <family val="2"/>
        <scheme val="minor"/>
      </rPr>
      <t>accents</t>
    </r>
    <r>
      <rPr>
        <sz val="11"/>
        <color theme="1"/>
        <rFont val="Calibri"/>
        <family val="2"/>
        <scheme val="minor"/>
      </rPr>
      <t>, not as the main colour everywhere.</t>
    </r>
  </si>
  <si>
    <r>
      <t xml:space="preserve">Use Deep Wine for </t>
    </r>
    <r>
      <rPr>
        <b/>
        <sz val="11"/>
        <color theme="1"/>
        <rFont val="Calibri"/>
        <family val="2"/>
        <scheme val="minor"/>
      </rPr>
      <t>high-impact</t>
    </r>
    <r>
      <rPr>
        <sz val="11"/>
        <color theme="1"/>
        <rFont val="Calibri"/>
        <family val="2"/>
        <scheme val="minor"/>
      </rPr>
      <t xml:space="preserve"> moments (important headings, CTA buttons).</t>
    </r>
  </si>
  <si>
    <t>4.3 Typography (Fonts)</t>
  </si>
  <si>
    <r>
      <t>Concept:</t>
    </r>
    <r>
      <rPr>
        <sz val="11"/>
        <color theme="1"/>
        <rFont val="Calibri"/>
        <family val="2"/>
        <scheme val="minor"/>
      </rPr>
      <t xml:space="preserve"> Elegant serif for headings + clean sans-serif for body text.</t>
    </r>
  </si>
  <si>
    <t>1. Headings (H1–H3):</t>
  </si>
  <si>
    <r>
      <t xml:space="preserve">Recommended: </t>
    </r>
    <r>
      <rPr>
        <sz val="10"/>
        <color theme="1"/>
        <rFont val="Arial Unicode MS"/>
      </rPr>
      <t>Playfair Display</t>
    </r>
    <r>
      <rPr>
        <sz val="11"/>
        <color theme="1"/>
        <rFont val="Calibri"/>
        <family val="2"/>
        <scheme val="minor"/>
      </rPr>
      <t xml:space="preserve"> or </t>
    </r>
    <r>
      <rPr>
        <sz val="10"/>
        <color theme="1"/>
        <rFont val="Arial Unicode MS"/>
      </rPr>
      <t>Cormorant Garamond</t>
    </r>
  </si>
  <si>
    <t>Weight: Semi-bold/Bold</t>
  </si>
  <si>
    <t>Use for titles, quotes, and hero text.</t>
  </si>
  <si>
    <t>2. Body text:</t>
  </si>
  <si>
    <r>
      <t xml:space="preserve">Recommended: </t>
    </r>
    <r>
      <rPr>
        <sz val="10"/>
        <color theme="1"/>
        <rFont val="Arial Unicode MS"/>
      </rPr>
      <t>Lato</t>
    </r>
    <r>
      <rPr>
        <sz val="11"/>
        <color theme="1"/>
        <rFont val="Calibri"/>
        <family val="2"/>
        <scheme val="minor"/>
      </rPr>
      <t xml:space="preserve">, </t>
    </r>
    <r>
      <rPr>
        <sz val="10"/>
        <color theme="1"/>
        <rFont val="Arial Unicode MS"/>
      </rPr>
      <t>Open Sans</t>
    </r>
    <r>
      <rPr>
        <sz val="11"/>
        <color theme="1"/>
        <rFont val="Calibri"/>
        <family val="2"/>
        <scheme val="minor"/>
      </rPr>
      <t xml:space="preserve">, or </t>
    </r>
    <r>
      <rPr>
        <sz val="10"/>
        <color theme="1"/>
        <rFont val="Arial Unicode MS"/>
      </rPr>
      <t>Montserrat</t>
    </r>
  </si>
  <si>
    <t>Size on web: 16–18px for comfortable reading.</t>
  </si>
  <si>
    <t>3. Script accent (optional):</t>
  </si>
  <si>
    <t>Use sparingly for small phrases (e.g. “with love”, “bride-to-be”).</t>
  </si>
  <si>
    <r>
      <t xml:space="preserve">Examples: </t>
    </r>
    <r>
      <rPr>
        <sz val="10"/>
        <color theme="1"/>
        <rFont val="Arial Unicode MS"/>
      </rPr>
      <t>Great Vibes</t>
    </r>
    <r>
      <rPr>
        <sz val="11"/>
        <color theme="1"/>
        <rFont val="Calibri"/>
        <family val="2"/>
        <scheme val="minor"/>
      </rPr>
      <t xml:space="preserve">, </t>
    </r>
    <r>
      <rPr>
        <sz val="10"/>
        <color theme="1"/>
        <rFont val="Arial Unicode MS"/>
      </rPr>
      <t>Allura</t>
    </r>
    <r>
      <rPr>
        <sz val="11"/>
        <color theme="1"/>
        <rFont val="Calibri"/>
        <family val="2"/>
        <scheme val="minor"/>
      </rPr>
      <t>.</t>
    </r>
  </si>
  <si>
    <t>Don’t:</t>
  </si>
  <si>
    <t>Don’t use script fonts for long paragraphs.</t>
  </si>
  <si>
    <t>Don’t use more than 3 font families in your brand.</t>
  </si>
  <si>
    <t>4.4 Photography &amp; Imagery Style</t>
  </si>
  <si>
    <r>
      <t>Keywords:</t>
    </r>
    <r>
      <rPr>
        <sz val="11"/>
        <color theme="1"/>
        <rFont val="Calibri"/>
        <family val="2"/>
        <scheme val="minor"/>
      </rPr>
      <t xml:space="preserve"> Romantic, warm, real, emotional, soft, hopeful.</t>
    </r>
  </si>
  <si>
    <t>Look &amp; feel:</t>
  </si>
  <si>
    <r>
      <t>Lighting:</t>
    </r>
    <r>
      <rPr>
        <sz val="11"/>
        <color theme="1"/>
        <rFont val="Calibri"/>
        <family val="2"/>
        <scheme val="minor"/>
      </rPr>
      <t xml:space="preserve"> Natural, soft, golden tones. Avoid harsh flash or overly cold colours.</t>
    </r>
  </si>
  <si>
    <t>Subjects:</t>
  </si>
  <si>
    <t>Real couples, not only staged models.</t>
  </si>
  <si>
    <t>Detail shots: rings, flowers, Bible pages, hands praying, love letters.</t>
  </si>
  <si>
    <t>Moments: bride with her friends planning, a couple at premarital counselling, quiet intimate moments.</t>
  </si>
  <si>
    <t>Composition:</t>
  </si>
  <si>
    <t>Leave negative space where text can be placed on top (for banners and social media).</t>
  </si>
  <si>
    <t>Focus on emotion (smiles, tears, hugs), not just décor.</t>
  </si>
  <si>
    <t>4.5 Icons &amp; Illustrations</t>
  </si>
  <si>
    <t>Style: Thin line icons, slightly rounded corners – modern but soft.</t>
  </si>
  <si>
    <t>Colour: Mostly charcoal or Deep Wine, with small blush fills if needed.</t>
  </si>
  <si>
    <t>Use for:</t>
  </si>
  <si>
    <t>Navigation categories (Venues, Suppliers, Inspiration, Questions, Recipes, etc.)</t>
  </si>
  <si>
    <t>Quick visual cues (e.g. heart for relationship content, cross for faith-related pieces, ring for engagement topics).</t>
  </si>
  <si>
    <t>5. Voice &amp; Tone</t>
  </si>
  <si>
    <t>5.1 Language</t>
  </si>
  <si>
    <r>
      <t>Primary language:</t>
    </r>
    <r>
      <rPr>
        <sz val="11"/>
        <color theme="1"/>
        <rFont val="Calibri"/>
        <family val="2"/>
        <scheme val="minor"/>
      </rPr>
      <t xml:space="preserve"> Afrikaans (casual and warm “jy/julle” tone).</t>
    </r>
  </si>
  <si>
    <r>
      <t>Secondary:</t>
    </r>
    <r>
      <rPr>
        <sz val="11"/>
        <color theme="1"/>
        <rFont val="Calibri"/>
        <family val="2"/>
        <scheme val="minor"/>
      </rPr>
      <t xml:space="preserve"> English if needed (for some terms, hashtags, or international vendors).</t>
    </r>
  </si>
  <si>
    <t>5.2 Brand Voice</t>
  </si>
  <si>
    <t>Trou Idees speaks like:</t>
  </si>
  <si>
    <r>
      <t xml:space="preserve">A </t>
    </r>
    <r>
      <rPr>
        <b/>
        <sz val="11"/>
        <color theme="1"/>
        <rFont val="Calibri"/>
        <family val="2"/>
        <scheme val="minor"/>
      </rPr>
      <t>kind, wise friend</t>
    </r>
    <r>
      <rPr>
        <sz val="11"/>
        <color theme="1"/>
        <rFont val="Calibri"/>
        <family val="2"/>
        <scheme val="minor"/>
      </rPr>
      <t xml:space="preserve"> with life experience.</t>
    </r>
  </si>
  <si>
    <r>
      <t xml:space="preserve">A woman who understands wedding stress but points you back to </t>
    </r>
    <r>
      <rPr>
        <b/>
        <sz val="11"/>
        <color theme="1"/>
        <rFont val="Calibri"/>
        <family val="2"/>
        <scheme val="minor"/>
      </rPr>
      <t>faith and perspective</t>
    </r>
    <r>
      <rPr>
        <sz val="11"/>
        <color theme="1"/>
        <rFont val="Calibri"/>
        <family val="2"/>
        <scheme val="minor"/>
      </rPr>
      <t>.</t>
    </r>
  </si>
  <si>
    <t>Someone who is:</t>
  </si>
  <si>
    <t>Warm</t>
  </si>
  <si>
    <t>Uplifting</t>
  </si>
  <si>
    <t>Honest</t>
  </si>
  <si>
    <t>Respectful</t>
  </si>
  <si>
    <t>5.3 Tone by Channel</t>
  </si>
  <si>
    <t>Website &amp; Articles:</t>
  </si>
  <si>
    <t>Informative, calm, practical and structured. Use clear headings, steps, and checklists.</t>
  </si>
  <si>
    <t>Social Media:</t>
  </si>
  <si>
    <t>More playful, conversational, with emojis if appropriate (💍, 💕, ✨), while staying elegant.</t>
  </si>
  <si>
    <t>Relationship &amp; Lifestyle Content:</t>
  </si>
  <si>
    <t>Extra gentle and empathetic, especially around sensitive topics (fights, doubts, pregnancy, loss).</t>
  </si>
  <si>
    <t>Answering Questions (DMs, emails, comments):</t>
  </si>
  <si>
    <t>Personal, kind, and understanding. Use names when you can. Acknowledge emotions first, advice second.</t>
  </si>
  <si>
    <t>6. Messaging Guidelines</t>
  </si>
  <si>
    <t>6.1 Core Message Pillars</t>
  </si>
  <si>
    <t>1. “Your wedding is one day. Your marriage is a lifetime.”</t>
  </si>
  <si>
    <t>2. “You don’t have to plan alone – we walk with you.”</t>
  </si>
  <si>
    <t>3. “Faith, love and perspective.”</t>
  </si>
  <si>
    <t>6.2 Suggested Phrases</t>
  </si>
  <si>
    <t>You can repeat and adapt these across your platforms:</t>
  </si>
  <si>
    <t>“Remember: your wedding is just the beginning – invest in your marriage too.”</t>
  </si>
  <si>
    <t>“We’re here to walk this exciting journey with you.”</t>
  </si>
  <si>
    <t>“Put God at the center of your engagement and marriage.”</t>
  </si>
  <si>
    <t>“Your partner in wedding planning – from first idea to last dance.”</t>
  </si>
  <si>
    <t>7. Digital Use</t>
  </si>
  <si>
    <t>7.1 Website</t>
  </si>
  <si>
    <t>Navigation ideas:</t>
  </si>
  <si>
    <t>Home</t>
  </si>
  <si>
    <t>Wedding Inspiration</t>
  </si>
  <si>
    <t>Planning &amp; Checklists</t>
  </si>
  <si>
    <t>Venues &amp; Suppliers</t>
  </si>
  <si>
    <t>Questions &amp; Advice</t>
  </si>
  <si>
    <t>Marriage &amp; Lifestyle</t>
  </si>
  <si>
    <t>Contact / Work with Us</t>
  </si>
  <si>
    <t>Design tips:</t>
  </si>
  <si>
    <t>Use blush or rose gold for buttons, with Deep Wine text or outlines.</t>
  </si>
  <si>
    <t>Use clear CTAs:</t>
  </si>
  <si>
    <t>“Get inspired”</t>
  </si>
  <si>
    <t>“Find a venue”</t>
  </si>
  <si>
    <t>“Ask a question”</t>
  </si>
  <si>
    <t>Mix:</t>
  </si>
  <si>
    <t>Large photo banners with overlay text</t>
  </si>
  <si>
    <t>Solid colour blocks for article lists (better readability)</t>
  </si>
  <si>
    <t>7.2 Social Media</t>
  </si>
  <si>
    <t>Use your colour palette for:</t>
  </si>
  <si>
    <t>Quote cards</t>
  </si>
  <si>
    <t>Tips carousels</t>
  </si>
  <si>
    <t>Announcements and promos</t>
  </si>
  <si>
    <t>Keep your logo in the same place on graphics for consistency.</t>
  </si>
  <si>
    <t>Mix content:</t>
  </si>
  <si>
    <t>Real weddings</t>
  </si>
  <si>
    <t>Behind-the-scenes</t>
  </si>
  <si>
    <t>Faith-based encouragement</t>
  </si>
  <si>
    <t>Quick planning tips</t>
  </si>
  <si>
    <t>Supplier spotlights</t>
  </si>
  <si>
    <t>Hashtags examples:</t>
  </si>
  <si>
    <t>#trouidees</t>
  </si>
  <si>
    <t>#troudag</t>
  </si>
  <si>
    <t>#AfrikaansBride</t>
  </si>
  <si>
    <t>#ChristenHuwelik</t>
  </si>
  <si>
    <t>#WeddingInspiration</t>
  </si>
  <si>
    <t xml:space="preserve">  apiKey: "AIzaSyCJHBlqy9mCvOq2YfodUkAXGc94he5gK-I",</t>
  </si>
  <si>
    <t xml:space="preserve">  authDomain: "trouidees-6798f.firebaseapp.com",</t>
  </si>
  <si>
    <t xml:space="preserve">  projectId: "trouidees-6798f",</t>
  </si>
  <si>
    <t xml:space="preserve">  storageBucket: "trouidees-6798f.firebasestorage.app",</t>
  </si>
  <si>
    <t xml:space="preserve">  messagingSenderId: "73054714346",</t>
  </si>
  <si>
    <t xml:space="preserve">  appId: "1:73054714346:web:897ee5f366e7b82e11da93",</t>
  </si>
  <si>
    <t xml:space="preserve">  measurementId: "G-GYH226GVJQ"</t>
  </si>
  <si>
    <t>8. Add hosting on firebase</t>
  </si>
  <si>
    <t>firebase login --reauth</t>
  </si>
  <si>
    <t>Login</t>
  </si>
  <si>
    <t>npx playwright test</t>
  </si>
  <si>
    <t xml:space="preserve">    Runs the end-to-end tests.</t>
  </si>
  <si>
    <t xml:space="preserve">  npx playwright test --ui</t>
  </si>
  <si>
    <t xml:space="preserve">    Starts the interactive UI mode.</t>
  </si>
  <si>
    <t xml:space="preserve">  npx playwright test --project=chromium</t>
  </si>
  <si>
    <t xml:space="preserve">    Runs the tests only on Desktop Chrome.</t>
  </si>
  <si>
    <t xml:space="preserve">  npx playwright test example</t>
  </si>
  <si>
    <t xml:space="preserve">    Runs the tests in a specific file.</t>
  </si>
  <si>
    <t xml:space="preserve">  npx playwright test --debug</t>
  </si>
  <si>
    <t xml:space="preserve">    Runs the tests in debug mode.</t>
  </si>
  <si>
    <t xml:space="preserve">  npx playwright codegen</t>
  </si>
  <si>
    <t xml:space="preserve">    Auto generate tests with Codegen.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</si>
</sst>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name val="Calibri"/>
      <family val="2"/>
      <scheme val="minor"/>
    </font>
    <font>
      <sz val="16"/>
      <name val="Calibri"/>
      <family val="2"/>
      <scheme val="minor"/>
    </font>
    <font>
      <sz val="16"/>
      <name val="Consolas"/>
      <family val="3"/>
    </font>
    <font>
      <sz val="18"/>
      <color theme="1"/>
      <name val="Calibri"/>
      <family val="2"/>
      <scheme val="minor"/>
    </font>
    <font>
      <sz val="16"/>
      <color theme="1"/>
      <name val="Calibri"/>
      <family val="2"/>
      <scheme val="minor"/>
    </font>
    <font>
      <sz val="16"/>
      <color rgb="FF000000"/>
      <name val="Segoe UI"/>
      <family val="2"/>
    </font>
    <font>
      <b/>
      <sz val="16"/>
      <color theme="1"/>
      <name val="Calibri"/>
      <family val="2"/>
      <scheme val="minor"/>
    </font>
    <font>
      <b/>
      <sz val="24"/>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b/>
      <sz val="13.5"/>
      <color theme="1"/>
      <name val="Calibri"/>
      <family val="2"/>
      <scheme val="minor"/>
    </font>
    <font>
      <sz val="10"/>
      <color theme="1"/>
      <name val="Arial Unicode MS"/>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vertical="center"/>
    </xf>
    <xf numFmtId="0" fontId="2" fillId="0" borderId="0" xfId="0" applyFont="1"/>
    <xf numFmtId="0" fontId="1" fillId="0" borderId="0" xfId="0" applyFont="1" applyAlignment="1">
      <alignment horizontal="left" vertical="center" indent="1"/>
    </xf>
    <xf numFmtId="0" fontId="2" fillId="0" borderId="0" xfId="0" applyFont="1" applyAlignment="1">
      <alignment horizontal="left" vertical="center" indent="1"/>
    </xf>
    <xf numFmtId="0" fontId="3" fillId="0" borderId="0" xfId="0" applyFont="1" applyAlignment="1">
      <alignment vertical="center"/>
    </xf>
    <xf numFmtId="0" fontId="4" fillId="0" borderId="0" xfId="0" applyFont="1"/>
    <xf numFmtId="0" fontId="1" fillId="2" borderId="0" xfId="0" applyFont="1" applyFill="1" applyAlignment="1">
      <alignment vertical="center"/>
    </xf>
    <xf numFmtId="0" fontId="5" fillId="0" borderId="0" xfId="0" applyFont="1"/>
    <xf numFmtId="0" fontId="6" fillId="0" borderId="0" xfId="0" applyFont="1"/>
    <xf numFmtId="0" fontId="7" fillId="0" borderId="0" xfId="0" applyFont="1"/>
    <xf numFmtId="0" fontId="8" fillId="0" borderId="0" xfId="0" applyFont="1" applyAlignment="1">
      <alignment vertical="center"/>
    </xf>
    <xf numFmtId="0" fontId="1" fillId="0" borderId="0" xfId="0" applyFont="1"/>
    <xf numFmtId="0" fontId="4" fillId="0" borderId="0" xfId="0" applyFont="1" applyAlignment="1">
      <alignment horizontal="left" indent="5"/>
    </xf>
    <xf numFmtId="0" fontId="1" fillId="0" borderId="0" xfId="0" applyFont="1" applyAlignment="1">
      <alignment horizontal="left" wrapText="1" indent="4"/>
    </xf>
    <xf numFmtId="0" fontId="0" fillId="0" borderId="0" xfId="0" applyAlignment="1">
      <alignment wrapText="1"/>
    </xf>
    <xf numFmtId="0" fontId="0" fillId="0" borderId="0" xfId="0" quotePrefix="1"/>
    <xf numFmtId="0" fontId="10" fillId="0" borderId="0" xfId="0" applyFont="1" applyAlignment="1">
      <alignment vertical="center"/>
    </xf>
    <xf numFmtId="0" fontId="9" fillId="0" borderId="0" xfId="0" applyFont="1"/>
    <xf numFmtId="0" fontId="0" fillId="0" borderId="0" xfId="0" applyAlignment="1">
      <alignment horizontal="left" vertical="center" indent="1"/>
    </xf>
    <xf numFmtId="0" fontId="12" fillId="0" borderId="0" xfId="0" applyFont="1" applyAlignment="1">
      <alignment vertical="center"/>
    </xf>
    <xf numFmtId="0" fontId="9" fillId="0" borderId="0" xfId="0" applyFont="1" applyAlignment="1">
      <alignment horizontal="left" vertical="center" indent="1"/>
    </xf>
    <xf numFmtId="0" fontId="0" fillId="0" borderId="0" xfId="0" applyAlignment="1">
      <alignment horizontal="left" vertical="center" indent="2"/>
    </xf>
    <xf numFmtId="0" fontId="9" fillId="0" borderId="0" xfId="0" applyFont="1" applyAlignment="1">
      <alignment horizontal="center" vertical="center" wrapText="1"/>
    </xf>
    <xf numFmtId="0" fontId="0" fillId="0" borderId="0" xfId="0" applyAlignment="1">
      <alignment vertical="center" wrapText="1"/>
    </xf>
    <xf numFmtId="0" fontId="1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7313F-A744-49EF-A45C-B408ECD82CCE}">
  <sheetPr codeName="Sheet1"/>
  <dimension ref="A1:E137"/>
  <sheetViews>
    <sheetView zoomScale="55" zoomScaleNormal="55" workbookViewId="0">
      <selection activeCell="B6" sqref="B6"/>
    </sheetView>
  </sheetViews>
  <sheetFormatPr defaultRowHeight="21"/>
  <cols>
    <col min="1" max="1" width="197.90625" style="2" customWidth="1"/>
    <col min="2" max="2" width="153.81640625" style="8" bestFit="1" customWidth="1"/>
    <col min="4" max="4" width="42.6328125" hidden="1" customWidth="1"/>
    <col min="5" max="6" width="0" hidden="1" customWidth="1"/>
  </cols>
  <sheetData>
    <row r="1" spans="1:5" ht="31">
      <c r="A1" s="11" t="s">
        <v>46</v>
      </c>
      <c r="B1" s="10" t="s">
        <v>45</v>
      </c>
    </row>
    <row r="3" spans="1:5" ht="25">
      <c r="A3" s="1" t="s">
        <v>0</v>
      </c>
      <c r="B3" s="9" t="s">
        <v>44</v>
      </c>
    </row>
    <row r="4" spans="1:5" ht="25">
      <c r="A4" s="1" t="s">
        <v>48</v>
      </c>
      <c r="B4" s="9" t="s">
        <v>49</v>
      </c>
    </row>
    <row r="5" spans="1:5" ht="25">
      <c r="A5" s="12" t="s">
        <v>47</v>
      </c>
      <c r="B5" s="9" t="s">
        <v>50</v>
      </c>
    </row>
    <row r="6" spans="1:5" ht="25">
      <c r="A6" s="1" t="s">
        <v>52</v>
      </c>
      <c r="B6" s="9" t="s">
        <v>51</v>
      </c>
    </row>
    <row r="7" spans="1:5" ht="25">
      <c r="A7" s="13" t="str">
        <f>LEFT(D92,FIND("=",D92))&amp;E16</f>
        <v>VITE_FIREBASE_API_KEY="AIzaSyCJHBlqy9mCvOq2YfodUkAXGc94he5gK-I"</v>
      </c>
      <c r="B7" s="9"/>
    </row>
    <row r="8" spans="1:5" ht="25">
      <c r="A8" s="13" t="str">
        <f>LEFT(D93,FIND("=",D93))&amp;E17</f>
        <v>VITE_FIREBASE_AUTH_DOMAIN="trouidees-6798f.firebaseapp.com"</v>
      </c>
      <c r="B8" s="9"/>
    </row>
    <row r="9" spans="1:5" ht="25">
      <c r="A9" s="13" t="str">
        <f>LEFT(D94,FIND("=",D94))&amp;E18</f>
        <v>VITE_FIREBASE_PROJECT_ID="trouidees-6798f"</v>
      </c>
      <c r="B9" s="9"/>
    </row>
    <row r="10" spans="1:5" ht="25">
      <c r="A10" s="13" t="str">
        <f>LEFT(D95,FIND("=",D95))&amp;E69</f>
        <v>VITE_FIREBASE_STORAGE_BUCKET="trouidees-6798f.firebasestorage.app"</v>
      </c>
      <c r="B10" s="9"/>
    </row>
    <row r="11" spans="1:5" ht="25">
      <c r="A11" s="13" t="str">
        <f>LEFT(D96,FIND("=",D96))&amp;E70</f>
        <v>VITE_FIREBASE_MESSAGING_SENDER_ID="73054714346"</v>
      </c>
      <c r="B11" s="9"/>
    </row>
    <row r="12" spans="1:5" ht="25">
      <c r="A12" s="13" t="str">
        <f>LEFT(D97,FIND("=",D97))&amp;E71</f>
        <v>VITE_FIREBASE_APP_ID="1:73054714346:web:897ee5f366e7b82e11da93"</v>
      </c>
      <c r="B12" s="9"/>
    </row>
    <row r="13" spans="1:5" ht="25">
      <c r="A13" s="13" t="str">
        <f>LEFT(D98,FIND("=",D98))&amp;E72</f>
        <v>VITE_FIREBASE_MEASUREMENT_ID="G-GYH226GVJQ"</v>
      </c>
      <c r="B13" s="9"/>
    </row>
    <row r="14" spans="1:5" ht="25">
      <c r="A14" s="12" t="s">
        <v>53</v>
      </c>
      <c r="B14" s="9" t="s">
        <v>55</v>
      </c>
    </row>
    <row r="15" spans="1:5" ht="44">
      <c r="A15" s="14" t="s">
        <v>54</v>
      </c>
      <c r="B15" s="9"/>
    </row>
    <row r="16" spans="1:5" ht="25">
      <c r="A16" s="12" t="s">
        <v>56</v>
      </c>
      <c r="B16" s="9" t="s">
        <v>57</v>
      </c>
      <c r="D16" s="6" t="str">
        <f>'Firebase Cred Copy from Step 1'!A10</f>
        <v xml:space="preserve">  apiKey: "AIzaSyCJHBlqy9mCvOq2YfodUkAXGc94he5gK-I",</v>
      </c>
      <c r="E16" s="6" t="str">
        <f>SUBSTITUTE(TRIM(MID(D16,FIND(":",D16)+1,100)),",","")</f>
        <v>"AIzaSyCJHBlqy9mCvOq2YfodUkAXGc94he5gK-I"</v>
      </c>
    </row>
    <row r="17" spans="1:5" ht="25">
      <c r="A17" s="12" t="s">
        <v>58</v>
      </c>
      <c r="B17" s="9" t="s">
        <v>59</v>
      </c>
      <c r="D17" s="6" t="str">
        <f>'Firebase Cred Copy from Step 1'!A11</f>
        <v xml:space="preserve">  authDomain: "trouidees-6798f.firebaseapp.com",</v>
      </c>
      <c r="E17" s="6" t="str">
        <f t="shared" ref="E17:E72" si="0">SUBSTITUTE(TRIM(MID(D17,FIND(":",D17)+1,100)),",","")</f>
        <v>"trouidees-6798f.firebaseapp.com"</v>
      </c>
    </row>
    <row r="18" spans="1:5" ht="25">
      <c r="A18" s="12" t="s">
        <v>842</v>
      </c>
      <c r="B18" s="9"/>
      <c r="D18" s="6" t="str">
        <f>'Firebase Cred Copy from Step 1'!A12</f>
        <v xml:space="preserve">  projectId: "trouidees-6798f",</v>
      </c>
      <c r="E18" s="6" t="str">
        <f t="shared" si="0"/>
        <v>"trouidees-6798f"</v>
      </c>
    </row>
    <row r="19" spans="1:5" ht="25">
      <c r="A19" s="12"/>
      <c r="B19" s="9"/>
      <c r="D19" s="6"/>
      <c r="E19" s="6"/>
    </row>
    <row r="20" spans="1:5" ht="25">
      <c r="A20" s="12"/>
      <c r="B20" s="9"/>
      <c r="D20" s="6"/>
      <c r="E20" s="6"/>
    </row>
    <row r="21" spans="1:5" ht="25">
      <c r="A21" s="12"/>
      <c r="B21" s="9"/>
      <c r="D21" s="6"/>
      <c r="E21" s="6"/>
    </row>
    <row r="22" spans="1:5" ht="25">
      <c r="A22" s="12"/>
      <c r="B22" s="9"/>
      <c r="D22" s="6"/>
      <c r="E22" s="6"/>
    </row>
    <row r="23" spans="1:5" ht="25">
      <c r="A23" s="12"/>
      <c r="B23" s="9"/>
      <c r="D23" s="6"/>
      <c r="E23" s="6"/>
    </row>
    <row r="24" spans="1:5" ht="25">
      <c r="A24" s="12"/>
      <c r="B24" s="9"/>
      <c r="D24" s="6"/>
      <c r="E24" s="6"/>
    </row>
    <row r="25" spans="1:5" ht="25">
      <c r="A25" s="12"/>
      <c r="B25" s="9"/>
      <c r="D25" s="6"/>
      <c r="E25" s="6"/>
    </row>
    <row r="26" spans="1:5" ht="25">
      <c r="A26" s="12"/>
      <c r="B26" s="9"/>
      <c r="D26" s="6"/>
      <c r="E26" s="6"/>
    </row>
    <row r="27" spans="1:5" ht="25">
      <c r="A27" s="12"/>
      <c r="B27" s="9"/>
      <c r="D27" s="6"/>
      <c r="E27" s="6"/>
    </row>
    <row r="28" spans="1:5" ht="25">
      <c r="A28" s="4"/>
      <c r="B28" s="9"/>
      <c r="D28" s="6"/>
      <c r="E28" s="6"/>
    </row>
    <row r="29" spans="1:5" ht="25">
      <c r="A29" s="4"/>
      <c r="B29" s="9"/>
      <c r="D29" s="6"/>
      <c r="E29" s="6"/>
    </row>
    <row r="30" spans="1:5" ht="25">
      <c r="A30" s="4"/>
      <c r="B30" s="9"/>
      <c r="D30" s="6"/>
      <c r="E30" s="6"/>
    </row>
    <row r="31" spans="1:5" ht="25">
      <c r="A31" s="4"/>
      <c r="B31" s="9"/>
      <c r="D31" s="6"/>
      <c r="E31" s="6"/>
    </row>
    <row r="32" spans="1:5" ht="25">
      <c r="A32" s="4"/>
      <c r="B32" s="9"/>
      <c r="D32" s="6"/>
      <c r="E32" s="6"/>
    </row>
    <row r="33" spans="1:5" ht="25">
      <c r="A33" s="4"/>
      <c r="B33" s="9"/>
      <c r="D33" s="6"/>
      <c r="E33" s="6"/>
    </row>
    <row r="34" spans="1:5" ht="25">
      <c r="A34" s="4"/>
      <c r="B34" s="9"/>
      <c r="D34" s="6"/>
      <c r="E34" s="6"/>
    </row>
    <row r="35" spans="1:5" ht="25">
      <c r="A35" s="4"/>
      <c r="B35" s="9"/>
      <c r="D35" s="6"/>
      <c r="E35" s="6"/>
    </row>
    <row r="36" spans="1:5" ht="25">
      <c r="A36" s="4"/>
      <c r="B36" s="9"/>
      <c r="D36" s="6"/>
      <c r="E36" s="6"/>
    </row>
    <row r="37" spans="1:5" ht="25">
      <c r="A37" s="4"/>
      <c r="B37" s="9"/>
      <c r="D37" s="6"/>
      <c r="E37" s="6"/>
    </row>
    <row r="38" spans="1:5" ht="25">
      <c r="A38" s="4"/>
      <c r="B38" s="9"/>
      <c r="D38" s="6"/>
      <c r="E38" s="6"/>
    </row>
    <row r="39" spans="1:5" ht="25">
      <c r="A39" s="4"/>
      <c r="B39" s="9"/>
      <c r="D39" s="6"/>
      <c r="E39" s="6"/>
    </row>
    <row r="40" spans="1:5" ht="25">
      <c r="A40" s="4"/>
      <c r="B40" s="9"/>
      <c r="D40" s="6"/>
      <c r="E40" s="6"/>
    </row>
    <row r="41" spans="1:5" ht="25">
      <c r="A41" s="4"/>
      <c r="B41" s="9"/>
      <c r="D41" s="6"/>
      <c r="E41" s="6"/>
    </row>
    <row r="42" spans="1:5" ht="25">
      <c r="A42" s="4"/>
      <c r="B42" s="9"/>
      <c r="D42" s="6"/>
      <c r="E42" s="6"/>
    </row>
    <row r="43" spans="1:5" ht="25">
      <c r="A43" s="4"/>
      <c r="B43" s="9"/>
      <c r="D43" s="6"/>
      <c r="E43" s="6"/>
    </row>
    <row r="44" spans="1:5" ht="25">
      <c r="A44" s="7" t="s">
        <v>29</v>
      </c>
      <c r="B44" s="9"/>
      <c r="D44" s="6"/>
      <c r="E44" s="6"/>
    </row>
    <row r="45" spans="1:5" ht="25">
      <c r="B45" s="9"/>
      <c r="D45" s="6"/>
      <c r="E45" s="6"/>
    </row>
    <row r="46" spans="1:5" ht="25">
      <c r="A46" s="5" t="s">
        <v>11</v>
      </c>
      <c r="B46" s="9"/>
      <c r="D46" s="6"/>
      <c r="E46" s="6"/>
    </row>
    <row r="47" spans="1:5" ht="25">
      <c r="A47" s="5" t="s">
        <v>12</v>
      </c>
      <c r="B47" s="9"/>
      <c r="D47" s="6"/>
      <c r="E47" s="6"/>
    </row>
    <row r="48" spans="1:5" ht="25">
      <c r="A48" s="4" t="s">
        <v>13</v>
      </c>
      <c r="B48" s="9"/>
      <c r="D48" s="6"/>
      <c r="E48" s="6"/>
    </row>
    <row r="49" spans="1:5" ht="25">
      <c r="A49" s="4" t="s">
        <v>14</v>
      </c>
      <c r="B49" s="9"/>
      <c r="D49" s="6"/>
      <c r="E49" s="6"/>
    </row>
    <row r="50" spans="1:5" ht="25">
      <c r="A50" s="4" t="s">
        <v>15</v>
      </c>
      <c r="B50" s="9"/>
      <c r="D50" s="6"/>
      <c r="E50" s="6"/>
    </row>
    <row r="51" spans="1:5" ht="25">
      <c r="A51" s="2" t="s">
        <v>1</v>
      </c>
      <c r="B51" s="9"/>
      <c r="D51" s="6"/>
      <c r="E51" s="6"/>
    </row>
    <row r="52" spans="1:5" ht="25">
      <c r="B52" s="9"/>
      <c r="D52" s="6"/>
      <c r="E52" s="6"/>
    </row>
    <row r="53" spans="1:5" ht="25">
      <c r="A53" s="7" t="s">
        <v>30</v>
      </c>
      <c r="B53" s="9"/>
      <c r="D53" s="6"/>
      <c r="E53" s="6"/>
    </row>
    <row r="54" spans="1:5" ht="25">
      <c r="A54" s="2" t="s">
        <v>2</v>
      </c>
      <c r="B54" s="9"/>
      <c r="D54" s="6"/>
      <c r="E54" s="6"/>
    </row>
    <row r="55" spans="1:5" ht="25">
      <c r="A55" s="3" t="s">
        <v>31</v>
      </c>
      <c r="B55" s="9"/>
      <c r="D55" s="6"/>
      <c r="E55" s="6"/>
    </row>
    <row r="56" spans="1:5" ht="25">
      <c r="B56" s="9"/>
      <c r="D56" s="6"/>
      <c r="E56" s="6"/>
    </row>
    <row r="57" spans="1:5" ht="25">
      <c r="A57" s="5" t="s">
        <v>16</v>
      </c>
      <c r="B57" s="9"/>
      <c r="D57" s="6"/>
      <c r="E57" s="6"/>
    </row>
    <row r="58" spans="1:5" ht="25">
      <c r="A58" s="3" t="s">
        <v>32</v>
      </c>
      <c r="B58" s="9"/>
      <c r="D58" s="6"/>
      <c r="E58" s="6"/>
    </row>
    <row r="59" spans="1:5" ht="25">
      <c r="B59" s="9"/>
      <c r="D59" s="6"/>
      <c r="E59" s="6"/>
    </row>
    <row r="60" spans="1:5" ht="25">
      <c r="A60" s="5" t="s">
        <v>17</v>
      </c>
      <c r="B60" s="9"/>
      <c r="D60" s="6"/>
      <c r="E60" s="6"/>
    </row>
    <row r="61" spans="1:5" ht="25">
      <c r="A61" s="5" t="s">
        <v>18</v>
      </c>
      <c r="B61" s="9"/>
      <c r="D61" s="6"/>
      <c r="E61" s="6"/>
    </row>
    <row r="62" spans="1:5" ht="25">
      <c r="A62" s="2" t="s">
        <v>19</v>
      </c>
      <c r="B62" s="9"/>
      <c r="D62" s="6"/>
      <c r="E62" s="6"/>
    </row>
    <row r="63" spans="1:5" ht="25">
      <c r="A63" s="4" t="s">
        <v>20</v>
      </c>
      <c r="B63" s="9"/>
      <c r="D63" s="6"/>
      <c r="E63" s="6"/>
    </row>
    <row r="64" spans="1:5" ht="25">
      <c r="A64" s="4" t="s">
        <v>21</v>
      </c>
      <c r="B64" s="9"/>
      <c r="D64" s="6"/>
      <c r="E64" s="6"/>
    </row>
    <row r="65" spans="1:5" ht="25">
      <c r="A65" s="4" t="s">
        <v>22</v>
      </c>
      <c r="B65" s="9"/>
      <c r="D65" s="6"/>
      <c r="E65" s="6"/>
    </row>
    <row r="66" spans="1:5" ht="25">
      <c r="A66" s="4" t="s">
        <v>23</v>
      </c>
      <c r="B66" s="9"/>
      <c r="D66" s="6"/>
      <c r="E66" s="6"/>
    </row>
    <row r="67" spans="1:5" ht="25">
      <c r="A67" s="4"/>
      <c r="B67" s="9"/>
      <c r="D67" s="6"/>
      <c r="E67" s="6"/>
    </row>
    <row r="68" spans="1:5" ht="25">
      <c r="A68" s="3" t="s">
        <v>33</v>
      </c>
      <c r="B68" s="9"/>
      <c r="D68" s="6"/>
      <c r="E68" s="6"/>
    </row>
    <row r="69" spans="1:5" ht="25">
      <c r="B69" s="9"/>
      <c r="D69" s="6" t="str">
        <f>'Firebase Cred Copy from Step 1'!A13</f>
        <v xml:space="preserve">  storageBucket: "trouidees-6798f.firebasestorage.app",</v>
      </c>
      <c r="E69" s="6" t="str">
        <f t="shared" si="0"/>
        <v>"trouidees-6798f.firebasestorage.app"</v>
      </c>
    </row>
    <row r="70" spans="1:5" ht="25">
      <c r="A70" s="5" t="s">
        <v>24</v>
      </c>
      <c r="B70" s="9"/>
      <c r="D70" s="6" t="str">
        <f>'Firebase Cred Copy from Step 1'!A14</f>
        <v xml:space="preserve">  messagingSenderId: "73054714346",</v>
      </c>
      <c r="E70" s="6" t="str">
        <f t="shared" si="0"/>
        <v>"73054714346"</v>
      </c>
    </row>
    <row r="71" spans="1:5" ht="25">
      <c r="A71" s="5" t="s">
        <v>25</v>
      </c>
      <c r="B71" s="9"/>
      <c r="D71" s="6" t="str">
        <f>'Firebase Cred Copy from Step 1'!A15</f>
        <v xml:space="preserve">  appId: "1:73054714346:web:897ee5f366e7b82e11da93",</v>
      </c>
      <c r="E71" s="6" t="str">
        <f t="shared" si="0"/>
        <v>"1:73054714346:web:897ee5f366e7b82e11da93"</v>
      </c>
    </row>
    <row r="72" spans="1:5" ht="25">
      <c r="A72" s="2" t="s">
        <v>3</v>
      </c>
      <c r="B72" s="9"/>
      <c r="D72" s="6" t="str">
        <f>'Firebase Cred Copy from Step 1'!A16</f>
        <v xml:space="preserve">  measurementId: "G-GYH226GVJQ"</v>
      </c>
      <c r="E72" s="6" t="str">
        <f t="shared" si="0"/>
        <v>"G-GYH226GVJQ"</v>
      </c>
    </row>
    <row r="73" spans="1:5" ht="25">
      <c r="A73" s="4" t="s">
        <v>26</v>
      </c>
      <c r="B73" s="9"/>
    </row>
    <row r="74" spans="1:5" ht="25">
      <c r="B74" s="9"/>
    </row>
    <row r="75" spans="1:5" ht="25">
      <c r="B75" s="9"/>
    </row>
    <row r="76" spans="1:5" ht="25">
      <c r="B76" s="9"/>
    </row>
    <row r="77" spans="1:5" ht="25">
      <c r="B77" s="9"/>
    </row>
    <row r="78" spans="1:5" ht="25">
      <c r="B78" s="9"/>
    </row>
    <row r="79" spans="1:5" ht="25">
      <c r="B79" s="9"/>
      <c r="D79" s="6"/>
    </row>
    <row r="80" spans="1:5" ht="25">
      <c r="A80" s="4"/>
      <c r="B80" s="9"/>
      <c r="D80" s="6"/>
    </row>
    <row r="81" spans="1:4" ht="25">
      <c r="A81" s="4"/>
      <c r="B81" s="9"/>
      <c r="D81" s="6"/>
    </row>
    <row r="82" spans="1:4" ht="25">
      <c r="B82" s="9"/>
      <c r="D82" s="6"/>
    </row>
    <row r="83" spans="1:4" ht="25">
      <c r="B83" s="9"/>
      <c r="D83" s="6"/>
    </row>
    <row r="84" spans="1:4" ht="25">
      <c r="B84" s="9"/>
      <c r="D84" s="6"/>
    </row>
    <row r="85" spans="1:4" ht="25">
      <c r="B85" s="9"/>
      <c r="D85" s="6"/>
    </row>
    <row r="86" spans="1:4" ht="25">
      <c r="B86" s="9"/>
      <c r="D86" s="6"/>
    </row>
    <row r="87" spans="1:4" ht="25">
      <c r="B87" s="9"/>
      <c r="D87" s="6"/>
    </row>
    <row r="88" spans="1:4" ht="25">
      <c r="B88" s="9"/>
      <c r="D88" s="6"/>
    </row>
    <row r="89" spans="1:4" ht="25">
      <c r="B89" s="9"/>
      <c r="D89" s="6"/>
    </row>
    <row r="90" spans="1:4" ht="25">
      <c r="B90" s="9"/>
      <c r="D90" s="6"/>
    </row>
    <row r="91" spans="1:4" ht="25">
      <c r="B91" s="9"/>
      <c r="D91" s="6"/>
    </row>
    <row r="92" spans="1:4" ht="25">
      <c r="B92" s="9"/>
      <c r="D92" s="5" t="s">
        <v>4</v>
      </c>
    </row>
    <row r="93" spans="1:4" ht="25">
      <c r="B93" s="9"/>
      <c r="D93" s="5" t="s">
        <v>5</v>
      </c>
    </row>
    <row r="94" spans="1:4" ht="25">
      <c r="B94" s="9"/>
      <c r="D94" s="5" t="s">
        <v>6</v>
      </c>
    </row>
    <row r="95" spans="1:4" ht="25">
      <c r="B95" s="9"/>
      <c r="D95" s="5" t="s">
        <v>7</v>
      </c>
    </row>
    <row r="96" spans="1:4" ht="25">
      <c r="B96" s="9"/>
      <c r="D96" s="5" t="s">
        <v>8</v>
      </c>
    </row>
    <row r="97" spans="2:4" ht="25">
      <c r="B97" s="9"/>
      <c r="D97" s="5" t="s">
        <v>9</v>
      </c>
    </row>
    <row r="98" spans="2:4" ht="25">
      <c r="B98" s="9"/>
      <c r="D98" s="5" t="s">
        <v>10</v>
      </c>
    </row>
    <row r="99" spans="2:4" ht="25">
      <c r="B99" s="9"/>
    </row>
    <row r="100" spans="2:4" ht="25">
      <c r="B100" s="9"/>
    </row>
    <row r="101" spans="2:4" ht="25">
      <c r="B101" s="9"/>
    </row>
    <row r="102" spans="2:4" ht="25">
      <c r="B102" s="9"/>
    </row>
    <row r="103" spans="2:4" ht="25">
      <c r="B103" s="9"/>
    </row>
    <row r="104" spans="2:4" ht="25">
      <c r="B104" s="9"/>
    </row>
    <row r="105" spans="2:4" ht="25">
      <c r="B105" s="9"/>
    </row>
    <row r="106" spans="2:4" ht="25">
      <c r="B106" s="9"/>
    </row>
    <row r="107" spans="2:4" ht="25">
      <c r="B107" s="9"/>
    </row>
    <row r="108" spans="2:4" ht="25">
      <c r="B108" s="9"/>
    </row>
    <row r="109" spans="2:4" ht="25">
      <c r="B109" s="9"/>
    </row>
    <row r="110" spans="2:4" ht="25">
      <c r="B110" s="9"/>
    </row>
    <row r="111" spans="2:4" ht="25">
      <c r="B111" s="9"/>
    </row>
    <row r="112" spans="2:4" ht="25">
      <c r="B112" s="9"/>
    </row>
    <row r="113" spans="2:2" ht="25">
      <c r="B113" s="9"/>
    </row>
    <row r="114" spans="2:2" ht="25">
      <c r="B114" s="9"/>
    </row>
    <row r="115" spans="2:2" ht="25">
      <c r="B115" s="9"/>
    </row>
    <row r="116" spans="2:2" ht="25">
      <c r="B116" s="9"/>
    </row>
    <row r="117" spans="2:2" ht="25">
      <c r="B117" s="9"/>
    </row>
    <row r="118" spans="2:2" ht="25">
      <c r="B118" s="9"/>
    </row>
    <row r="119" spans="2:2" ht="25">
      <c r="B119" s="9"/>
    </row>
    <row r="120" spans="2:2" ht="25">
      <c r="B120" s="9"/>
    </row>
    <row r="121" spans="2:2" ht="25">
      <c r="B121" s="9"/>
    </row>
    <row r="122" spans="2:2" ht="25">
      <c r="B122" s="9"/>
    </row>
    <row r="123" spans="2:2" ht="25">
      <c r="B123" s="9"/>
    </row>
    <row r="124" spans="2:2" ht="25">
      <c r="B124" s="9"/>
    </row>
    <row r="125" spans="2:2" ht="25">
      <c r="B125" s="9"/>
    </row>
    <row r="126" spans="2:2" ht="25">
      <c r="B126" s="9"/>
    </row>
    <row r="127" spans="2:2" ht="25">
      <c r="B127" s="9"/>
    </row>
    <row r="128" spans="2:2" ht="25">
      <c r="B128" s="9"/>
    </row>
    <row r="129" spans="1:2" ht="25">
      <c r="B129" s="9"/>
    </row>
    <row r="130" spans="1:2" ht="25">
      <c r="B130" s="9"/>
    </row>
    <row r="131" spans="1:2" ht="25">
      <c r="B131" s="9"/>
    </row>
    <row r="134" spans="1:2">
      <c r="A134" s="1"/>
    </row>
    <row r="136" spans="1:2">
      <c r="A136" s="4"/>
    </row>
    <row r="137" spans="1:2">
      <c r="A137" s="4"/>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CA7F-FE57-4C09-A7D5-A8B864638989}">
  <dimension ref="A1:A21"/>
  <sheetViews>
    <sheetView workbookViewId="0">
      <selection sqref="A1:A21"/>
    </sheetView>
  </sheetViews>
  <sheetFormatPr defaultRowHeight="14.5"/>
  <cols>
    <col min="1" max="1" width="68.453125" customWidth="1"/>
  </cols>
  <sheetData>
    <row r="1" spans="1:1">
      <c r="A1" t="s">
        <v>38</v>
      </c>
    </row>
    <row r="2" spans="1:1">
      <c r="A2" t="s">
        <v>39</v>
      </c>
    </row>
    <row r="3" spans="1:1">
      <c r="A3" t="s">
        <v>40</v>
      </c>
    </row>
    <row r="4" spans="1:1">
      <c r="A4" t="s">
        <v>34</v>
      </c>
    </row>
    <row r="5" spans="1:1">
      <c r="A5" t="s">
        <v>35</v>
      </c>
    </row>
    <row r="7" spans="1:1">
      <c r="A7" t="s">
        <v>36</v>
      </c>
    </row>
    <row r="8" spans="1:1">
      <c r="A8" t="s">
        <v>37</v>
      </c>
    </row>
    <row r="9" spans="1:1">
      <c r="A9" t="s">
        <v>27</v>
      </c>
    </row>
    <row r="10" spans="1:1">
      <c r="A10" t="s">
        <v>835</v>
      </c>
    </row>
    <row r="11" spans="1:1">
      <c r="A11" t="s">
        <v>836</v>
      </c>
    </row>
    <row r="12" spans="1:1">
      <c r="A12" t="s">
        <v>837</v>
      </c>
    </row>
    <row r="13" spans="1:1">
      <c r="A13" t="s">
        <v>838</v>
      </c>
    </row>
    <row r="14" spans="1:1">
      <c r="A14" t="s">
        <v>839</v>
      </c>
    </row>
    <row r="15" spans="1:1">
      <c r="A15" t="s">
        <v>840</v>
      </c>
    </row>
    <row r="16" spans="1:1">
      <c r="A16" t="s">
        <v>841</v>
      </c>
    </row>
    <row r="17" spans="1:1">
      <c r="A17" t="s">
        <v>28</v>
      </c>
    </row>
    <row r="19" spans="1:1">
      <c r="A19" t="s">
        <v>41</v>
      </c>
    </row>
    <row r="20" spans="1:1">
      <c r="A20" t="s">
        <v>42</v>
      </c>
    </row>
    <row r="21" spans="1:1">
      <c r="A21"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FB71-7D76-45A9-9E9A-00F2E6CF8BB2}">
  <dimension ref="A2:B21"/>
  <sheetViews>
    <sheetView workbookViewId="0">
      <selection activeCell="B33" sqref="B33"/>
    </sheetView>
  </sheetViews>
  <sheetFormatPr defaultRowHeight="14.5"/>
  <cols>
    <col min="1" max="1" width="1.90625" bestFit="1" customWidth="1"/>
    <col min="2" max="2" width="142.08984375" customWidth="1"/>
    <col min="3" max="3" width="57.08984375" customWidth="1"/>
  </cols>
  <sheetData>
    <row r="2" spans="1:2">
      <c r="A2">
        <v>1</v>
      </c>
      <c r="B2" t="s">
        <v>63</v>
      </c>
    </row>
    <row r="3" spans="1:2">
      <c r="B3" t="s">
        <v>64</v>
      </c>
    </row>
    <row r="4" spans="1:2">
      <c r="B4" t="s">
        <v>65</v>
      </c>
    </row>
    <row r="6" spans="1:2">
      <c r="A6">
        <v>2</v>
      </c>
      <c r="B6" t="s">
        <v>62</v>
      </c>
    </row>
    <row r="7" spans="1:2">
      <c r="B7" t="s">
        <v>60</v>
      </c>
    </row>
    <row r="9" spans="1:2">
      <c r="A9">
        <v>3</v>
      </c>
      <c r="B9" t="s">
        <v>61</v>
      </c>
    </row>
    <row r="10" spans="1:2">
      <c r="B10" t="s">
        <v>66</v>
      </c>
    </row>
    <row r="11" spans="1:2" ht="29">
      <c r="B11" s="15" t="s">
        <v>649</v>
      </c>
    </row>
    <row r="13" spans="1:2">
      <c r="A13">
        <v>4</v>
      </c>
      <c r="B13" t="s">
        <v>643</v>
      </c>
    </row>
    <row r="14" spans="1:2" ht="29">
      <c r="B14" s="15" t="s">
        <v>644</v>
      </c>
    </row>
    <row r="15" spans="1:2">
      <c r="B15" s="16" t="s">
        <v>645</v>
      </c>
    </row>
    <row r="16" spans="1:2">
      <c r="B16" s="16" t="s">
        <v>648</v>
      </c>
    </row>
    <row r="17" spans="1:2">
      <c r="B17" s="16" t="s">
        <v>646</v>
      </c>
    </row>
    <row r="18" spans="1:2">
      <c r="B18" s="16" t="s">
        <v>647</v>
      </c>
    </row>
    <row r="20" spans="1:2">
      <c r="A20">
        <v>5</v>
      </c>
      <c r="B20" t="s">
        <v>650</v>
      </c>
    </row>
    <row r="21" spans="1:2">
      <c r="B21" t="s">
        <v>651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7E79B-799D-424E-A69C-4B3FB01F1CC3}">
  <dimension ref="A1:F6"/>
  <sheetViews>
    <sheetView tabSelected="1" workbookViewId="0">
      <selection activeCell="E20" sqref="E20"/>
    </sheetView>
  </sheetViews>
  <sheetFormatPr defaultRowHeight="14.5"/>
  <cols>
    <col min="2" max="2" width="33" bestFit="1" customWidth="1"/>
    <col min="5" max="6" width="37.08984375" bestFit="1" customWidth="1"/>
  </cols>
  <sheetData>
    <row r="1" spans="1:6">
      <c r="A1" t="s">
        <v>652</v>
      </c>
      <c r="B1" t="s">
        <v>653</v>
      </c>
      <c r="E1" t="s">
        <v>845</v>
      </c>
      <c r="F1" t="s">
        <v>846</v>
      </c>
    </row>
    <row r="2" spans="1:6">
      <c r="A2" t="s">
        <v>844</v>
      </c>
      <c r="B2" t="s">
        <v>843</v>
      </c>
      <c r="E2" t="s">
        <v>847</v>
      </c>
      <c r="F2" t="s">
        <v>848</v>
      </c>
    </row>
    <row r="3" spans="1:6">
      <c r="E3" t="s">
        <v>849</v>
      </c>
      <c r="F3" t="s">
        <v>850</v>
      </c>
    </row>
    <row r="4" spans="1:6">
      <c r="E4" t="s">
        <v>851</v>
      </c>
      <c r="F4" t="s">
        <v>852</v>
      </c>
    </row>
    <row r="5" spans="1:6">
      <c r="E5" t="s">
        <v>853</v>
      </c>
      <c r="F5" t="s">
        <v>854</v>
      </c>
    </row>
    <row r="6" spans="1:6">
      <c r="E6" t="s">
        <v>855</v>
      </c>
      <c r="F6" t="s">
        <v>856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0559E-C7D6-4194-837E-D3A59194200B}">
  <dimension ref="A1:D364"/>
  <sheetViews>
    <sheetView showGridLines="0" workbookViewId="0">
      <selection activeCell="O24" sqref="O24"/>
    </sheetView>
  </sheetViews>
  <sheetFormatPr defaultRowHeight="14.5"/>
  <sheetData>
    <row r="1" spans="1:1" ht="23.5">
      <c r="A1" s="17" t="s">
        <v>395</v>
      </c>
    </row>
    <row r="3" spans="1:1">
      <c r="A3" s="18" t="s">
        <v>654</v>
      </c>
    </row>
    <row r="4" spans="1:1">
      <c r="A4" s="18" t="s">
        <v>655</v>
      </c>
    </row>
    <row r="6" spans="1:1">
      <c r="A6" s="18" t="s">
        <v>656</v>
      </c>
    </row>
    <row r="7" spans="1:1">
      <c r="A7" t="s">
        <v>657</v>
      </c>
    </row>
    <row r="9" spans="1:1">
      <c r="A9" s="18" t="s">
        <v>658</v>
      </c>
    </row>
    <row r="10" spans="1:1">
      <c r="A10" s="19"/>
    </row>
    <row r="11" spans="1:1">
      <c r="A11" s="19" t="s">
        <v>659</v>
      </c>
    </row>
    <row r="15" spans="1:1" ht="23.5">
      <c r="A15" s="17" t="s">
        <v>660</v>
      </c>
    </row>
    <row r="17" spans="1:1" ht="17.5">
      <c r="A17" s="20" t="s">
        <v>661</v>
      </c>
    </row>
    <row r="18" spans="1:1">
      <c r="A18" s="19"/>
    </row>
    <row r="19" spans="1:1">
      <c r="A19" s="19" t="s">
        <v>662</v>
      </c>
    </row>
    <row r="20" spans="1:1">
      <c r="A20" s="19"/>
    </row>
    <row r="21" spans="1:1">
      <c r="A21" s="19" t="s">
        <v>663</v>
      </c>
    </row>
    <row r="23" spans="1:1" ht="17.5">
      <c r="A23" s="20" t="s">
        <v>664</v>
      </c>
    </row>
    <row r="24" spans="1:1">
      <c r="A24" s="19"/>
    </row>
    <row r="25" spans="1:1">
      <c r="A25" s="21" t="s">
        <v>665</v>
      </c>
    </row>
    <row r="26" spans="1:1">
      <c r="A26" s="19"/>
    </row>
    <row r="27" spans="1:1">
      <c r="A27" s="21" t="s">
        <v>666</v>
      </c>
    </row>
    <row r="28" spans="1:1">
      <c r="A28" s="19"/>
    </row>
    <row r="29" spans="1:1">
      <c r="A29" s="21" t="s">
        <v>667</v>
      </c>
    </row>
    <row r="30" spans="1:1">
      <c r="A30" s="19"/>
    </row>
    <row r="31" spans="1:1">
      <c r="A31" s="21" t="s">
        <v>668</v>
      </c>
    </row>
    <row r="32" spans="1:1">
      <c r="A32" s="19"/>
    </row>
    <row r="33" spans="1:1">
      <c r="A33" s="21" t="s">
        <v>669</v>
      </c>
    </row>
    <row r="35" spans="1:1" ht="17.5">
      <c r="A35" s="20" t="s">
        <v>670</v>
      </c>
    </row>
    <row r="37" spans="1:1">
      <c r="A37" t="s">
        <v>671</v>
      </c>
    </row>
    <row r="38" spans="1:1">
      <c r="A38" s="19"/>
    </row>
    <row r="39" spans="1:1">
      <c r="A39" s="19" t="s">
        <v>672</v>
      </c>
    </row>
    <row r="40" spans="1:1">
      <c r="A40" s="19"/>
    </row>
    <row r="41" spans="1:1">
      <c r="A41" s="21" t="s">
        <v>673</v>
      </c>
    </row>
    <row r="42" spans="1:1">
      <c r="A42" s="19"/>
    </row>
    <row r="43" spans="1:1">
      <c r="A43" s="21" t="s">
        <v>674</v>
      </c>
    </row>
    <row r="44" spans="1:1">
      <c r="A44" s="19"/>
    </row>
    <row r="45" spans="1:1">
      <c r="A45" s="21" t="s">
        <v>675</v>
      </c>
    </row>
    <row r="46" spans="1:1">
      <c r="A46" s="19"/>
    </row>
    <row r="47" spans="1:1">
      <c r="A47" s="21" t="s">
        <v>676</v>
      </c>
    </row>
    <row r="51" spans="1:1" ht="23.5">
      <c r="A51" s="17" t="s">
        <v>677</v>
      </c>
    </row>
    <row r="53" spans="1:1" ht="17.5">
      <c r="A53" s="20" t="s">
        <v>678</v>
      </c>
    </row>
    <row r="54" spans="1:1">
      <c r="A54" s="19"/>
    </row>
    <row r="55" spans="1:1">
      <c r="A55" s="19" t="s">
        <v>679</v>
      </c>
    </row>
    <row r="56" spans="1:1">
      <c r="A56" s="19"/>
    </row>
    <row r="57" spans="1:1">
      <c r="A57" s="19" t="s">
        <v>680</v>
      </c>
    </row>
    <row r="58" spans="1:1">
      <c r="A58" s="19"/>
    </row>
    <row r="59" spans="1:1">
      <c r="A59" s="19" t="s">
        <v>681</v>
      </c>
    </row>
    <row r="61" spans="1:1" ht="17.5">
      <c r="A61" s="20" t="s">
        <v>682</v>
      </c>
    </row>
    <row r="62" spans="1:1">
      <c r="A62" s="19"/>
    </row>
    <row r="63" spans="1:1">
      <c r="A63" s="19" t="s">
        <v>683</v>
      </c>
    </row>
    <row r="64" spans="1:1">
      <c r="A64" s="19"/>
    </row>
    <row r="65" spans="1:1">
      <c r="A65" s="19"/>
    </row>
    <row r="66" spans="1:1">
      <c r="A66" s="22"/>
    </row>
    <row r="67" spans="1:1">
      <c r="A67" s="22" t="s">
        <v>684</v>
      </c>
    </row>
    <row r="68" spans="1:1">
      <c r="A68" s="19"/>
    </row>
    <row r="69" spans="1:1">
      <c r="A69" s="19" t="s">
        <v>685</v>
      </c>
    </row>
    <row r="70" spans="1:1">
      <c r="A70" s="19"/>
    </row>
    <row r="71" spans="1:1">
      <c r="A71" s="19"/>
    </row>
    <row r="72" spans="1:1">
      <c r="A72" s="22"/>
    </row>
    <row r="73" spans="1:1">
      <c r="A73" s="22" t="s">
        <v>686</v>
      </c>
    </row>
    <row r="77" spans="1:1" ht="23.5">
      <c r="A77" s="17" t="s">
        <v>687</v>
      </c>
    </row>
    <row r="78" spans="1:1">
      <c r="A78" s="19"/>
    </row>
    <row r="79" spans="1:1">
      <c r="A79" s="19" t="s">
        <v>688</v>
      </c>
    </row>
    <row r="81" spans="1:1" ht="17.5">
      <c r="A81" s="20" t="s">
        <v>689</v>
      </c>
    </row>
    <row r="83" spans="1:1">
      <c r="A83" s="18" t="s">
        <v>690</v>
      </c>
    </row>
    <row r="84" spans="1:1">
      <c r="A84" s="19"/>
    </row>
    <row r="85" spans="1:1">
      <c r="A85" s="19" t="s">
        <v>691</v>
      </c>
    </row>
    <row r="86" spans="1:1">
      <c r="A86" s="19"/>
    </row>
    <row r="87" spans="1:1">
      <c r="A87" s="19" t="s">
        <v>692</v>
      </c>
    </row>
    <row r="89" spans="1:1">
      <c r="A89" s="18" t="s">
        <v>693</v>
      </c>
    </row>
    <row r="90" spans="1:1">
      <c r="A90" s="19"/>
    </row>
    <row r="91" spans="1:1">
      <c r="A91" s="19" t="s">
        <v>694</v>
      </c>
    </row>
    <row r="92" spans="1:1">
      <c r="A92" s="19"/>
    </row>
    <row r="93" spans="1:1">
      <c r="A93" s="19"/>
    </row>
    <row r="94" spans="1:1">
      <c r="A94" s="22"/>
    </row>
    <row r="95" spans="1:1">
      <c r="A95" s="22" t="s">
        <v>695</v>
      </c>
    </row>
    <row r="96" spans="1:1">
      <c r="A96" s="22"/>
    </row>
    <row r="97" spans="1:1">
      <c r="A97" s="22" t="s">
        <v>696</v>
      </c>
    </row>
    <row r="98" spans="1:1">
      <c r="A98" s="22"/>
    </row>
    <row r="99" spans="1:1">
      <c r="A99" s="22" t="s">
        <v>697</v>
      </c>
    </row>
    <row r="100" spans="1:1">
      <c r="A100" s="19"/>
    </row>
    <row r="101" spans="1:1">
      <c r="A101" s="19" t="s">
        <v>698</v>
      </c>
    </row>
    <row r="103" spans="1:1">
      <c r="A103" s="18" t="s">
        <v>699</v>
      </c>
    </row>
    <row r="104" spans="1:1">
      <c r="A104" s="19"/>
    </row>
    <row r="105" spans="1:1">
      <c r="A105" s="19" t="s">
        <v>700</v>
      </c>
    </row>
    <row r="106" spans="1:1">
      <c r="A106" s="19"/>
    </row>
    <row r="107" spans="1:1">
      <c r="A107" s="19" t="s">
        <v>701</v>
      </c>
    </row>
    <row r="108" spans="1:1">
      <c r="A108" s="19"/>
    </row>
    <row r="109" spans="1:1">
      <c r="A109" s="19" t="s">
        <v>702</v>
      </c>
    </row>
    <row r="113" spans="1:4" ht="17.5">
      <c r="A113" s="20" t="s">
        <v>703</v>
      </c>
    </row>
    <row r="115" spans="1:4">
      <c r="A115" s="18" t="s">
        <v>704</v>
      </c>
    </row>
    <row r="117" spans="1:4" ht="29">
      <c r="A117" s="23" t="s">
        <v>705</v>
      </c>
      <c r="B117" s="23" t="s">
        <v>706</v>
      </c>
      <c r="C117" s="23" t="s">
        <v>707</v>
      </c>
      <c r="D117" s="23" t="s">
        <v>708</v>
      </c>
    </row>
    <row r="118" spans="1:4" ht="72.5">
      <c r="A118" s="24" t="s">
        <v>709</v>
      </c>
      <c r="B118" s="24" t="s">
        <v>710</v>
      </c>
      <c r="C118" s="25" t="s">
        <v>711</v>
      </c>
      <c r="D118" s="24" t="s">
        <v>712</v>
      </c>
    </row>
    <row r="119" spans="1:4" ht="87">
      <c r="A119" s="24" t="s">
        <v>713</v>
      </c>
      <c r="B119" s="24" t="s">
        <v>714</v>
      </c>
      <c r="C119" s="25" t="s">
        <v>715</v>
      </c>
      <c r="D119" s="24" t="s">
        <v>716</v>
      </c>
    </row>
    <row r="120" spans="1:4" ht="116">
      <c r="A120" s="24" t="s">
        <v>717</v>
      </c>
      <c r="B120" s="24" t="s">
        <v>718</v>
      </c>
      <c r="C120" s="25" t="s">
        <v>719</v>
      </c>
      <c r="D120" s="24" t="s">
        <v>720</v>
      </c>
    </row>
    <row r="121" spans="1:4" ht="101.5">
      <c r="A121" s="24" t="s">
        <v>721</v>
      </c>
      <c r="B121" s="24" t="s">
        <v>722</v>
      </c>
      <c r="C121" s="25" t="s">
        <v>723</v>
      </c>
      <c r="D121" s="24" t="s">
        <v>724</v>
      </c>
    </row>
    <row r="122" spans="1:4" ht="101.5">
      <c r="A122" s="24" t="s">
        <v>725</v>
      </c>
      <c r="B122" s="24" t="s">
        <v>726</v>
      </c>
      <c r="C122" s="25" t="s">
        <v>727</v>
      </c>
      <c r="D122" s="24" t="s">
        <v>728</v>
      </c>
    </row>
    <row r="124" spans="1:4">
      <c r="A124" s="18" t="s">
        <v>729</v>
      </c>
    </row>
    <row r="125" spans="1:4">
      <c r="A125" s="19"/>
    </row>
    <row r="126" spans="1:4">
      <c r="A126" s="19" t="s">
        <v>730</v>
      </c>
    </row>
    <row r="127" spans="1:4">
      <c r="A127" s="19"/>
    </row>
    <row r="128" spans="1:4">
      <c r="A128" s="19" t="s">
        <v>731</v>
      </c>
    </row>
    <row r="129" spans="1:1">
      <c r="A129" s="19"/>
    </row>
    <row r="130" spans="1:1">
      <c r="A130" s="19" t="s">
        <v>732</v>
      </c>
    </row>
    <row r="134" spans="1:1" ht="17.5">
      <c r="A134" s="20" t="s">
        <v>733</v>
      </c>
    </row>
    <row r="136" spans="1:1">
      <c r="A136" s="18" t="s">
        <v>734</v>
      </c>
    </row>
    <row r="137" spans="1:1">
      <c r="A137" s="19"/>
    </row>
    <row r="138" spans="1:1">
      <c r="A138" s="21" t="s">
        <v>735</v>
      </c>
    </row>
    <row r="139" spans="1:1">
      <c r="A139" s="19"/>
    </row>
    <row r="140" spans="1:1">
      <c r="A140" s="19"/>
    </row>
    <row r="141" spans="1:1">
      <c r="A141" s="22"/>
    </row>
    <row r="142" spans="1:1">
      <c r="A142" s="22" t="s">
        <v>736</v>
      </c>
    </row>
    <row r="143" spans="1:1">
      <c r="A143" s="22"/>
    </row>
    <row r="144" spans="1:1">
      <c r="A144" s="22" t="s">
        <v>737</v>
      </c>
    </row>
    <row r="145" spans="1:1">
      <c r="A145" s="22"/>
    </row>
    <row r="146" spans="1:1">
      <c r="A146" s="22" t="s">
        <v>738</v>
      </c>
    </row>
    <row r="147" spans="1:1">
      <c r="A147" s="19"/>
    </row>
    <row r="148" spans="1:1">
      <c r="A148" s="21" t="s">
        <v>739</v>
      </c>
    </row>
    <row r="149" spans="1:1">
      <c r="A149" s="19"/>
    </row>
    <row r="150" spans="1:1">
      <c r="A150" s="19"/>
    </row>
    <row r="151" spans="1:1">
      <c r="A151" s="22"/>
    </row>
    <row r="152" spans="1:1">
      <c r="A152" s="22" t="s">
        <v>740</v>
      </c>
    </row>
    <row r="153" spans="1:1">
      <c r="A153" s="22"/>
    </row>
    <row r="154" spans="1:1">
      <c r="A154" s="22" t="s">
        <v>741</v>
      </c>
    </row>
    <row r="155" spans="1:1">
      <c r="A155" s="19"/>
    </row>
    <row r="156" spans="1:1">
      <c r="A156" s="21" t="s">
        <v>742</v>
      </c>
    </row>
    <row r="157" spans="1:1">
      <c r="A157" s="19"/>
    </row>
    <row r="158" spans="1:1">
      <c r="A158" s="19"/>
    </row>
    <row r="159" spans="1:1">
      <c r="A159" s="22"/>
    </row>
    <row r="160" spans="1:1">
      <c r="A160" s="22" t="s">
        <v>743</v>
      </c>
    </row>
    <row r="161" spans="1:1">
      <c r="A161" s="22"/>
    </row>
    <row r="162" spans="1:1">
      <c r="A162" s="22" t="s">
        <v>744</v>
      </c>
    </row>
    <row r="164" spans="1:1">
      <c r="A164" s="18" t="s">
        <v>745</v>
      </c>
    </row>
    <row r="165" spans="1:1">
      <c r="A165" s="19"/>
    </row>
    <row r="166" spans="1:1">
      <c r="A166" s="19" t="s">
        <v>746</v>
      </c>
    </row>
    <row r="167" spans="1:1">
      <c r="A167" s="19"/>
    </row>
    <row r="168" spans="1:1">
      <c r="A168" s="19" t="s">
        <v>747</v>
      </c>
    </row>
    <row r="172" spans="1:1" ht="17.5">
      <c r="A172" s="20" t="s">
        <v>748</v>
      </c>
    </row>
    <row r="174" spans="1:1">
      <c r="A174" s="18" t="s">
        <v>749</v>
      </c>
    </row>
    <row r="176" spans="1:1">
      <c r="A176" s="18" t="s">
        <v>750</v>
      </c>
    </row>
    <row r="177" spans="1:1">
      <c r="A177" s="19"/>
    </row>
    <row r="178" spans="1:1">
      <c r="A178" s="21" t="s">
        <v>751</v>
      </c>
    </row>
    <row r="179" spans="1:1">
      <c r="A179" s="19"/>
    </row>
    <row r="180" spans="1:1">
      <c r="A180" s="21" t="s">
        <v>752</v>
      </c>
    </row>
    <row r="181" spans="1:1">
      <c r="A181" s="19"/>
    </row>
    <row r="182" spans="1:1">
      <c r="A182" s="19"/>
    </row>
    <row r="183" spans="1:1">
      <c r="A183" s="22"/>
    </row>
    <row r="184" spans="1:1">
      <c r="A184" s="22" t="s">
        <v>753</v>
      </c>
    </row>
    <row r="185" spans="1:1">
      <c r="A185" s="22"/>
    </row>
    <row r="186" spans="1:1">
      <c r="A186" s="22" t="s">
        <v>754</v>
      </c>
    </row>
    <row r="187" spans="1:1">
      <c r="A187" s="22"/>
    </row>
    <row r="188" spans="1:1">
      <c r="A188" s="22" t="s">
        <v>755</v>
      </c>
    </row>
    <row r="189" spans="1:1">
      <c r="A189" s="19"/>
    </row>
    <row r="190" spans="1:1">
      <c r="A190" s="21" t="s">
        <v>756</v>
      </c>
    </row>
    <row r="191" spans="1:1">
      <c r="A191" s="19"/>
    </row>
    <row r="192" spans="1:1">
      <c r="A192" s="19"/>
    </row>
    <row r="193" spans="1:1">
      <c r="A193" s="22"/>
    </row>
    <row r="194" spans="1:1">
      <c r="A194" s="22" t="s">
        <v>757</v>
      </c>
    </row>
    <row r="195" spans="1:1">
      <c r="A195" s="22"/>
    </row>
    <row r="196" spans="1:1">
      <c r="A196" s="22" t="s">
        <v>758</v>
      </c>
    </row>
    <row r="200" spans="1:1" ht="17.5">
      <c r="A200" s="20" t="s">
        <v>759</v>
      </c>
    </row>
    <row r="201" spans="1:1">
      <c r="A201" s="19"/>
    </row>
    <row r="202" spans="1:1">
      <c r="A202" s="19" t="s">
        <v>760</v>
      </c>
    </row>
    <row r="203" spans="1:1">
      <c r="A203" s="19"/>
    </row>
    <row r="204" spans="1:1">
      <c r="A204" s="19" t="s">
        <v>761</v>
      </c>
    </row>
    <row r="205" spans="1:1">
      <c r="A205" s="19"/>
    </row>
    <row r="206" spans="1:1">
      <c r="A206" s="19" t="s">
        <v>762</v>
      </c>
    </row>
    <row r="207" spans="1:1">
      <c r="A207" s="19"/>
    </row>
    <row r="208" spans="1:1">
      <c r="A208" s="19"/>
    </row>
    <row r="209" spans="1:1">
      <c r="A209" s="22"/>
    </row>
    <row r="210" spans="1:1">
      <c r="A210" s="22" t="s">
        <v>763</v>
      </c>
    </row>
    <row r="211" spans="1:1">
      <c r="A211" s="22"/>
    </row>
    <row r="212" spans="1:1">
      <c r="A212" s="22" t="s">
        <v>764</v>
      </c>
    </row>
    <row r="216" spans="1:1" ht="23.5">
      <c r="A216" s="17" t="s">
        <v>765</v>
      </c>
    </row>
    <row r="218" spans="1:1" ht="17.5">
      <c r="A218" s="20" t="s">
        <v>766</v>
      </c>
    </row>
    <row r="219" spans="1:1">
      <c r="A219" s="19"/>
    </row>
    <row r="220" spans="1:1">
      <c r="A220" s="21" t="s">
        <v>767</v>
      </c>
    </row>
    <row r="221" spans="1:1">
      <c r="A221" s="19"/>
    </row>
    <row r="222" spans="1:1">
      <c r="A222" s="21" t="s">
        <v>768</v>
      </c>
    </row>
    <row r="224" spans="1:1" ht="17.5">
      <c r="A224" s="20" t="s">
        <v>769</v>
      </c>
    </row>
    <row r="226" spans="1:1">
      <c r="A226" t="s">
        <v>770</v>
      </c>
    </row>
    <row r="227" spans="1:1">
      <c r="A227" s="19"/>
    </row>
    <row r="228" spans="1:1">
      <c r="A228" s="19" t="s">
        <v>771</v>
      </c>
    </row>
    <row r="229" spans="1:1">
      <c r="A229" s="19"/>
    </row>
    <row r="230" spans="1:1">
      <c r="A230" s="19" t="s">
        <v>772</v>
      </c>
    </row>
    <row r="231" spans="1:1">
      <c r="A231" s="19"/>
    </row>
    <row r="232" spans="1:1">
      <c r="A232" s="19" t="s">
        <v>773</v>
      </c>
    </row>
    <row r="233" spans="1:1">
      <c r="A233" s="19"/>
    </row>
    <row r="234" spans="1:1">
      <c r="A234" s="19"/>
    </row>
    <row r="235" spans="1:1">
      <c r="A235" s="22"/>
    </row>
    <row r="236" spans="1:1">
      <c r="A236" s="22" t="s">
        <v>774</v>
      </c>
    </row>
    <row r="237" spans="1:1">
      <c r="A237" s="22"/>
    </row>
    <row r="238" spans="1:1">
      <c r="A238" s="22" t="s">
        <v>775</v>
      </c>
    </row>
    <row r="239" spans="1:1">
      <c r="A239" s="22"/>
    </row>
    <row r="240" spans="1:1">
      <c r="A240" s="22" t="s">
        <v>776</v>
      </c>
    </row>
    <row r="241" spans="1:1">
      <c r="A241" s="22"/>
    </row>
    <row r="242" spans="1:1">
      <c r="A242" s="22" t="s">
        <v>777</v>
      </c>
    </row>
    <row r="244" spans="1:1" ht="17.5">
      <c r="A244" s="20" t="s">
        <v>778</v>
      </c>
    </row>
    <row r="245" spans="1:1">
      <c r="A245" s="19"/>
    </row>
    <row r="246" spans="1:1">
      <c r="A246" s="21" t="s">
        <v>779</v>
      </c>
    </row>
    <row r="247" spans="1:1">
      <c r="A247" s="19" t="s">
        <v>780</v>
      </c>
    </row>
    <row r="248" spans="1:1">
      <c r="A248" s="19"/>
    </row>
    <row r="249" spans="1:1">
      <c r="A249" s="21" t="s">
        <v>781</v>
      </c>
    </row>
    <row r="250" spans="1:1">
      <c r="A250" s="19" t="s">
        <v>782</v>
      </c>
    </row>
    <row r="251" spans="1:1">
      <c r="A251" s="19"/>
    </row>
    <row r="252" spans="1:1">
      <c r="A252" s="21" t="s">
        <v>783</v>
      </c>
    </row>
    <row r="253" spans="1:1">
      <c r="A253" s="19" t="s">
        <v>784</v>
      </c>
    </row>
    <row r="254" spans="1:1">
      <c r="A254" s="19"/>
    </row>
    <row r="255" spans="1:1">
      <c r="A255" s="21" t="s">
        <v>785</v>
      </c>
    </row>
    <row r="256" spans="1:1">
      <c r="A256" s="19" t="s">
        <v>786</v>
      </c>
    </row>
    <row r="260" spans="1:1" ht="23.5">
      <c r="A260" s="17" t="s">
        <v>787</v>
      </c>
    </row>
    <row r="262" spans="1:1" ht="17.5">
      <c r="A262" s="20" t="s">
        <v>788</v>
      </c>
    </row>
    <row r="263" spans="1:1">
      <c r="A263" s="19"/>
    </row>
    <row r="264" spans="1:1">
      <c r="A264" s="21" t="s">
        <v>789</v>
      </c>
    </row>
    <row r="265" spans="1:1">
      <c r="A265" s="19"/>
    </row>
    <row r="266" spans="1:1">
      <c r="A266" s="21" t="s">
        <v>790</v>
      </c>
    </row>
    <row r="267" spans="1:1">
      <c r="A267" s="19"/>
    </row>
    <row r="268" spans="1:1">
      <c r="A268" s="21" t="s">
        <v>791</v>
      </c>
    </row>
    <row r="270" spans="1:1" ht="17.5">
      <c r="A270" s="20" t="s">
        <v>792</v>
      </c>
    </row>
    <row r="272" spans="1:1">
      <c r="A272" t="s">
        <v>793</v>
      </c>
    </row>
    <row r="273" spans="1:1">
      <c r="A273" s="19"/>
    </row>
    <row r="274" spans="1:1">
      <c r="A274" s="19" t="s">
        <v>794</v>
      </c>
    </row>
    <row r="275" spans="1:1">
      <c r="A275" s="19"/>
    </row>
    <row r="276" spans="1:1">
      <c r="A276" s="19" t="s">
        <v>795</v>
      </c>
    </row>
    <row r="277" spans="1:1">
      <c r="A277" s="19"/>
    </row>
    <row r="278" spans="1:1">
      <c r="A278" s="19" t="s">
        <v>796</v>
      </c>
    </row>
    <row r="279" spans="1:1">
      <c r="A279" s="19"/>
    </row>
    <row r="280" spans="1:1">
      <c r="A280" s="19" t="s">
        <v>797</v>
      </c>
    </row>
    <row r="284" spans="1:1" ht="23.5">
      <c r="A284" s="17" t="s">
        <v>798</v>
      </c>
    </row>
    <row r="286" spans="1:1" ht="17.5">
      <c r="A286" s="20" t="s">
        <v>799</v>
      </c>
    </row>
    <row r="288" spans="1:1">
      <c r="A288" s="18" t="s">
        <v>800</v>
      </c>
    </row>
    <row r="289" spans="1:1">
      <c r="A289" s="19"/>
    </row>
    <row r="290" spans="1:1">
      <c r="A290" s="19" t="s">
        <v>801</v>
      </c>
    </row>
    <row r="291" spans="1:1">
      <c r="A291" s="19"/>
    </row>
    <row r="292" spans="1:1">
      <c r="A292" s="19" t="s">
        <v>802</v>
      </c>
    </row>
    <row r="293" spans="1:1">
      <c r="A293" s="19"/>
    </row>
    <row r="294" spans="1:1">
      <c r="A294" s="19" t="s">
        <v>803</v>
      </c>
    </row>
    <row r="295" spans="1:1">
      <c r="A295" s="19"/>
    </row>
    <row r="296" spans="1:1">
      <c r="A296" s="19" t="s">
        <v>804</v>
      </c>
    </row>
    <row r="297" spans="1:1">
      <c r="A297" s="19"/>
    </row>
    <row r="298" spans="1:1">
      <c r="A298" s="19" t="s">
        <v>805</v>
      </c>
    </row>
    <row r="299" spans="1:1">
      <c r="A299" s="19"/>
    </row>
    <row r="300" spans="1:1">
      <c r="A300" s="19" t="s">
        <v>806</v>
      </c>
    </row>
    <row r="301" spans="1:1">
      <c r="A301" s="19"/>
    </row>
    <row r="302" spans="1:1">
      <c r="A302" s="19" t="s">
        <v>807</v>
      </c>
    </row>
    <row r="304" spans="1:1">
      <c r="A304" s="18" t="s">
        <v>808</v>
      </c>
    </row>
    <row r="305" spans="1:1">
      <c r="A305" s="19"/>
    </row>
    <row r="306" spans="1:1">
      <c r="A306" s="19" t="s">
        <v>809</v>
      </c>
    </row>
    <row r="307" spans="1:1">
      <c r="A307" s="19"/>
    </row>
    <row r="308" spans="1:1">
      <c r="A308" s="19" t="s">
        <v>810</v>
      </c>
    </row>
    <row r="309" spans="1:1">
      <c r="A309" s="19"/>
    </row>
    <row r="310" spans="1:1">
      <c r="A310" s="19"/>
    </row>
    <row r="311" spans="1:1">
      <c r="A311" s="22"/>
    </row>
    <row r="312" spans="1:1">
      <c r="A312" s="22" t="s">
        <v>811</v>
      </c>
    </row>
    <row r="313" spans="1:1">
      <c r="A313" s="22"/>
    </row>
    <row r="314" spans="1:1">
      <c r="A314" s="22" t="s">
        <v>812</v>
      </c>
    </row>
    <row r="315" spans="1:1">
      <c r="A315" s="22"/>
    </row>
    <row r="316" spans="1:1">
      <c r="A316" s="22" t="s">
        <v>813</v>
      </c>
    </row>
    <row r="317" spans="1:1">
      <c r="A317" s="19"/>
    </row>
    <row r="318" spans="1:1">
      <c r="A318" s="19" t="s">
        <v>814</v>
      </c>
    </row>
    <row r="319" spans="1:1">
      <c r="A319" s="19"/>
    </row>
    <row r="320" spans="1:1">
      <c r="A320" s="19"/>
    </row>
    <row r="321" spans="1:1">
      <c r="A321" s="22"/>
    </row>
    <row r="322" spans="1:1">
      <c r="A322" s="22" t="s">
        <v>815</v>
      </c>
    </row>
    <row r="323" spans="1:1">
      <c r="A323" s="22"/>
    </row>
    <row r="324" spans="1:1">
      <c r="A324" s="22" t="s">
        <v>816</v>
      </c>
    </row>
    <row r="326" spans="1:1" ht="17.5">
      <c r="A326" s="20" t="s">
        <v>817</v>
      </c>
    </row>
    <row r="327" spans="1:1">
      <c r="A327" s="19"/>
    </row>
    <row r="328" spans="1:1">
      <c r="A328" s="19" t="s">
        <v>818</v>
      </c>
    </row>
    <row r="329" spans="1:1">
      <c r="A329" s="19"/>
    </row>
    <row r="330" spans="1:1">
      <c r="A330" s="19"/>
    </row>
    <row r="331" spans="1:1">
      <c r="A331" s="22"/>
    </row>
    <row r="332" spans="1:1">
      <c r="A332" s="22" t="s">
        <v>819</v>
      </c>
    </row>
    <row r="333" spans="1:1">
      <c r="A333" s="22"/>
    </row>
    <row r="334" spans="1:1">
      <c r="A334" s="22" t="s">
        <v>820</v>
      </c>
    </row>
    <row r="335" spans="1:1">
      <c r="A335" s="22"/>
    </row>
    <row r="336" spans="1:1">
      <c r="A336" s="22" t="s">
        <v>821</v>
      </c>
    </row>
    <row r="337" spans="1:1">
      <c r="A337" s="19"/>
    </row>
    <row r="338" spans="1:1">
      <c r="A338" s="19" t="s">
        <v>822</v>
      </c>
    </row>
    <row r="339" spans="1:1">
      <c r="A339" s="19"/>
    </row>
    <row r="340" spans="1:1">
      <c r="A340" s="19" t="s">
        <v>823</v>
      </c>
    </row>
    <row r="341" spans="1:1">
      <c r="A341" s="19"/>
    </row>
    <row r="342" spans="1:1">
      <c r="A342" s="19"/>
    </row>
    <row r="343" spans="1:1">
      <c r="A343" s="22"/>
    </row>
    <row r="344" spans="1:1">
      <c r="A344" s="22" t="s">
        <v>824</v>
      </c>
    </row>
    <row r="345" spans="1:1">
      <c r="A345" s="22"/>
    </row>
    <row r="346" spans="1:1">
      <c r="A346" s="22" t="s">
        <v>825</v>
      </c>
    </row>
    <row r="347" spans="1:1">
      <c r="A347" s="22"/>
    </row>
    <row r="348" spans="1:1">
      <c r="A348" s="22" t="s">
        <v>826</v>
      </c>
    </row>
    <row r="349" spans="1:1">
      <c r="A349" s="22"/>
    </row>
    <row r="350" spans="1:1">
      <c r="A350" s="22" t="s">
        <v>827</v>
      </c>
    </row>
    <row r="351" spans="1:1">
      <c r="A351" s="22"/>
    </row>
    <row r="352" spans="1:1">
      <c r="A352" s="22" t="s">
        <v>828</v>
      </c>
    </row>
    <row r="354" spans="1:1">
      <c r="A354" s="18" t="s">
        <v>829</v>
      </c>
    </row>
    <row r="355" spans="1:1">
      <c r="A355" s="19"/>
    </row>
    <row r="356" spans="1:1">
      <c r="A356" s="19" t="s">
        <v>830</v>
      </c>
    </row>
    <row r="357" spans="1:1">
      <c r="A357" s="19"/>
    </row>
    <row r="358" spans="1:1">
      <c r="A358" s="19" t="s">
        <v>831</v>
      </c>
    </row>
    <row r="359" spans="1:1">
      <c r="A359" s="19"/>
    </row>
    <row r="360" spans="1:1">
      <c r="A360" s="19" t="s">
        <v>832</v>
      </c>
    </row>
    <row r="361" spans="1:1">
      <c r="A361" s="19"/>
    </row>
    <row r="362" spans="1:1">
      <c r="A362" s="19" t="s">
        <v>833</v>
      </c>
    </row>
    <row r="363" spans="1:1">
      <c r="A363" s="19"/>
    </row>
    <row r="364" spans="1:1">
      <c r="A364" s="19" t="s">
        <v>834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4330-AB0D-44F9-8D6A-187FAA5842B1}">
  <sheetPr>
    <tabColor theme="4" tint="-0.249977111117893"/>
  </sheetPr>
  <dimension ref="A1:A579"/>
  <sheetViews>
    <sheetView showGridLines="0" workbookViewId="0">
      <selection activeCell="L11" sqref="L11"/>
    </sheetView>
  </sheetViews>
  <sheetFormatPr defaultRowHeight="14.5"/>
  <sheetData>
    <row r="1" spans="1:1">
      <c r="A1" t="s">
        <v>67</v>
      </c>
    </row>
    <row r="2" spans="1:1">
      <c r="A2" t="s">
        <v>68</v>
      </c>
    </row>
    <row r="3" spans="1:1">
      <c r="A3" t="s">
        <v>69</v>
      </c>
    </row>
    <row r="4" spans="1:1">
      <c r="A4" t="s">
        <v>67</v>
      </c>
    </row>
    <row r="6" spans="1:1">
      <c r="A6" t="s">
        <v>70</v>
      </c>
    </row>
    <row r="8" spans="1:1">
      <c r="A8" t="s">
        <v>67</v>
      </c>
    </row>
    <row r="9" spans="1:1">
      <c r="A9" t="s">
        <v>71</v>
      </c>
    </row>
    <row r="10" spans="1:1">
      <c r="A10" t="s">
        <v>67</v>
      </c>
    </row>
    <row r="12" spans="1:1">
      <c r="A12" t="s">
        <v>72</v>
      </c>
    </row>
    <row r="13" spans="1:1">
      <c r="A13" t="s">
        <v>73</v>
      </c>
    </row>
    <row r="14" spans="1:1">
      <c r="A14" t="s">
        <v>74</v>
      </c>
    </row>
    <row r="16" spans="1:1">
      <c r="A16" t="s">
        <v>67</v>
      </c>
    </row>
    <row r="17" spans="1:1">
      <c r="A17" t="s">
        <v>75</v>
      </c>
    </row>
    <row r="18" spans="1:1">
      <c r="A18" t="s">
        <v>67</v>
      </c>
    </row>
    <row r="20" spans="1:1">
      <c r="A20" t="s">
        <v>76</v>
      </c>
    </row>
    <row r="22" spans="1:1">
      <c r="A22" t="s">
        <v>77</v>
      </c>
    </row>
    <row r="23" spans="1:1">
      <c r="A23" t="s">
        <v>78</v>
      </c>
    </row>
    <row r="24" spans="1:1">
      <c r="A24" t="s">
        <v>79</v>
      </c>
    </row>
    <row r="26" spans="1:1">
      <c r="A26" t="s">
        <v>67</v>
      </c>
    </row>
    <row r="27" spans="1:1">
      <c r="A27" t="s">
        <v>80</v>
      </c>
    </row>
    <row r="28" spans="1:1">
      <c r="A28" t="s">
        <v>67</v>
      </c>
    </row>
    <row r="30" spans="1:1">
      <c r="A30" t="s">
        <v>81</v>
      </c>
    </row>
    <row r="31" spans="1:1">
      <c r="A31" t="s">
        <v>82</v>
      </c>
    </row>
    <row r="33" spans="1:1">
      <c r="A33" t="s">
        <v>83</v>
      </c>
    </row>
    <row r="34" spans="1:1">
      <c r="A34" t="s">
        <v>84</v>
      </c>
    </row>
    <row r="35" spans="1:1">
      <c r="A35" t="s">
        <v>85</v>
      </c>
    </row>
    <row r="36" spans="1:1">
      <c r="A36" t="s">
        <v>86</v>
      </c>
    </row>
    <row r="37" spans="1:1">
      <c r="A37" t="s">
        <v>87</v>
      </c>
    </row>
    <row r="38" spans="1:1">
      <c r="A38" t="s">
        <v>88</v>
      </c>
    </row>
    <row r="41" spans="1:1">
      <c r="A41" t="s">
        <v>89</v>
      </c>
    </row>
    <row r="42" spans="1:1">
      <c r="A42" t="s">
        <v>82</v>
      </c>
    </row>
    <row r="44" spans="1:1">
      <c r="A44" t="s">
        <v>90</v>
      </c>
    </row>
    <row r="45" spans="1:1">
      <c r="A45" t="s">
        <v>91</v>
      </c>
    </row>
    <row r="47" spans="1:1">
      <c r="A47" t="s">
        <v>92</v>
      </c>
    </row>
    <row r="48" spans="1:1">
      <c r="A48" t="s">
        <v>93</v>
      </c>
    </row>
    <row r="50" spans="1:1">
      <c r="A50" t="s">
        <v>94</v>
      </c>
    </row>
    <row r="51" spans="1:1">
      <c r="A51" t="s">
        <v>95</v>
      </c>
    </row>
    <row r="52" spans="1:1">
      <c r="A52" t="s">
        <v>96</v>
      </c>
    </row>
    <row r="54" spans="1:1">
      <c r="A54" t="s">
        <v>97</v>
      </c>
    </row>
    <row r="55" spans="1:1">
      <c r="A55" t="s">
        <v>98</v>
      </c>
    </row>
    <row r="56" spans="1:1">
      <c r="A56" t="s">
        <v>99</v>
      </c>
    </row>
    <row r="58" spans="1:1">
      <c r="A58" t="s">
        <v>100</v>
      </c>
    </row>
    <row r="59" spans="1:1">
      <c r="A59" t="s">
        <v>101</v>
      </c>
    </row>
    <row r="60" spans="1:1">
      <c r="A60" t="s">
        <v>102</v>
      </c>
    </row>
    <row r="63" spans="1:1">
      <c r="A63" t="s">
        <v>103</v>
      </c>
    </row>
    <row r="64" spans="1:1">
      <c r="A64" t="s">
        <v>82</v>
      </c>
    </row>
    <row r="66" spans="1:1">
      <c r="A66" t="s">
        <v>104</v>
      </c>
    </row>
    <row r="67" spans="1:1">
      <c r="A67" t="s">
        <v>105</v>
      </c>
    </row>
    <row r="69" spans="1:1">
      <c r="A69" t="s">
        <v>106</v>
      </c>
    </row>
    <row r="70" spans="1:1">
      <c r="A70" t="s">
        <v>107</v>
      </c>
    </row>
    <row r="72" spans="1:1">
      <c r="A72" t="s">
        <v>108</v>
      </c>
    </row>
    <row r="73" spans="1:1">
      <c r="A73" t="s">
        <v>109</v>
      </c>
    </row>
    <row r="74" spans="1:1">
      <c r="A74" t="s">
        <v>110</v>
      </c>
    </row>
    <row r="76" spans="1:1">
      <c r="A76" t="s">
        <v>111</v>
      </c>
    </row>
    <row r="77" spans="1:1">
      <c r="A77" t="s">
        <v>112</v>
      </c>
    </row>
    <row r="78" spans="1:1">
      <c r="A78" t="s">
        <v>113</v>
      </c>
    </row>
    <row r="80" spans="1:1">
      <c r="A80" t="s">
        <v>114</v>
      </c>
    </row>
    <row r="81" spans="1:1">
      <c r="A81" t="s">
        <v>115</v>
      </c>
    </row>
    <row r="83" spans="1:1">
      <c r="A83" t="s">
        <v>67</v>
      </c>
    </row>
    <row r="84" spans="1:1">
      <c r="A84" t="s">
        <v>116</v>
      </c>
    </row>
    <row r="85" spans="1:1">
      <c r="A85" t="s">
        <v>67</v>
      </c>
    </row>
    <row r="87" spans="1:1">
      <c r="A87" t="s">
        <v>117</v>
      </c>
    </row>
    <row r="88" spans="1:1">
      <c r="A88" t="s">
        <v>82</v>
      </c>
    </row>
    <row r="90" spans="1:1">
      <c r="A90" t="s">
        <v>118</v>
      </c>
    </row>
    <row r="91" spans="1:1">
      <c r="A91" t="s">
        <v>119</v>
      </c>
    </row>
    <row r="93" spans="1:1">
      <c r="A93" t="s">
        <v>120</v>
      </c>
    </row>
    <row r="94" spans="1:1">
      <c r="A94" t="s">
        <v>121</v>
      </c>
    </row>
    <row r="96" spans="1:1">
      <c r="A96" t="s">
        <v>122</v>
      </c>
    </row>
    <row r="97" spans="1:1">
      <c r="A97" t="s">
        <v>123</v>
      </c>
    </row>
    <row r="99" spans="1:1">
      <c r="A99" t="s">
        <v>124</v>
      </c>
    </row>
    <row r="100" spans="1:1">
      <c r="A100" t="s">
        <v>125</v>
      </c>
    </row>
    <row r="102" spans="1:1">
      <c r="A102" t="s">
        <v>126</v>
      </c>
    </row>
    <row r="103" spans="1:1">
      <c r="A103" t="s">
        <v>127</v>
      </c>
    </row>
    <row r="106" spans="1:1">
      <c r="A106" t="s">
        <v>128</v>
      </c>
    </row>
    <row r="107" spans="1:1">
      <c r="A107" t="s">
        <v>82</v>
      </c>
    </row>
    <row r="109" spans="1:1">
      <c r="A109" t="s">
        <v>129</v>
      </c>
    </row>
    <row r="111" spans="1:1">
      <c r="A111" t="s">
        <v>130</v>
      </c>
    </row>
    <row r="112" spans="1:1">
      <c r="A112" t="s">
        <v>131</v>
      </c>
    </row>
    <row r="114" spans="1:1">
      <c r="A114" t="s">
        <v>132</v>
      </c>
    </row>
    <row r="115" spans="1:1">
      <c r="A115" t="s">
        <v>133</v>
      </c>
    </row>
    <row r="117" spans="1:1">
      <c r="A117" t="s">
        <v>134</v>
      </c>
    </row>
    <row r="118" spans="1:1">
      <c r="A118" t="s">
        <v>135</v>
      </c>
    </row>
    <row r="120" spans="1:1">
      <c r="A120" t="s">
        <v>136</v>
      </c>
    </row>
    <row r="121" spans="1:1">
      <c r="A121" t="s">
        <v>137</v>
      </c>
    </row>
    <row r="122" spans="1:1">
      <c r="A122" t="s">
        <v>138</v>
      </c>
    </row>
    <row r="124" spans="1:1">
      <c r="A124" t="s">
        <v>139</v>
      </c>
    </row>
    <row r="125" spans="1:1">
      <c r="A125" t="s">
        <v>140</v>
      </c>
    </row>
    <row r="127" spans="1:1">
      <c r="A127" t="s">
        <v>141</v>
      </c>
    </row>
    <row r="128" spans="1:1">
      <c r="A128" t="s">
        <v>142</v>
      </c>
    </row>
    <row r="130" spans="1:1">
      <c r="A130" t="s">
        <v>67</v>
      </c>
    </row>
    <row r="131" spans="1:1">
      <c r="A131" t="s">
        <v>143</v>
      </c>
    </row>
    <row r="132" spans="1:1">
      <c r="A132" t="s">
        <v>67</v>
      </c>
    </row>
    <row r="134" spans="1:1">
      <c r="A134" t="s">
        <v>144</v>
      </c>
    </row>
    <row r="135" spans="1:1">
      <c r="A135" t="s">
        <v>82</v>
      </c>
    </row>
    <row r="137" spans="1:1">
      <c r="A137" t="s">
        <v>145</v>
      </c>
    </row>
    <row r="138" spans="1:1">
      <c r="A138" t="s">
        <v>146</v>
      </c>
    </row>
    <row r="139" spans="1:1">
      <c r="A139" t="s">
        <v>147</v>
      </c>
    </row>
    <row r="140" spans="1:1">
      <c r="A140" t="s">
        <v>148</v>
      </c>
    </row>
    <row r="143" spans="1:1">
      <c r="A143" t="s">
        <v>149</v>
      </c>
    </row>
    <row r="144" spans="1:1">
      <c r="A144" t="s">
        <v>82</v>
      </c>
    </row>
    <row r="146" spans="1:1">
      <c r="A146" t="s">
        <v>150</v>
      </c>
    </row>
    <row r="147" spans="1:1">
      <c r="A147" t="s">
        <v>151</v>
      </c>
    </row>
    <row r="148" spans="1:1">
      <c r="A148" t="s">
        <v>152</v>
      </c>
    </row>
    <row r="150" spans="1:1">
      <c r="A150" t="s">
        <v>153</v>
      </c>
    </row>
    <row r="151" spans="1:1">
      <c r="A151" t="s">
        <v>154</v>
      </c>
    </row>
    <row r="152" spans="1:1">
      <c r="A152" t="s">
        <v>155</v>
      </c>
    </row>
    <row r="154" spans="1:1">
      <c r="A154" t="s">
        <v>156</v>
      </c>
    </row>
    <row r="155" spans="1:1">
      <c r="A155" t="s">
        <v>157</v>
      </c>
    </row>
    <row r="156" spans="1:1">
      <c r="A156" t="s">
        <v>158</v>
      </c>
    </row>
    <row r="158" spans="1:1">
      <c r="A158" t="s">
        <v>159</v>
      </c>
    </row>
    <row r="159" spans="1:1">
      <c r="A159" t="s">
        <v>160</v>
      </c>
    </row>
    <row r="160" spans="1:1">
      <c r="A160" t="s">
        <v>161</v>
      </c>
    </row>
    <row r="163" spans="1:1">
      <c r="A163" t="s">
        <v>162</v>
      </c>
    </row>
    <row r="164" spans="1:1">
      <c r="A164" t="s">
        <v>82</v>
      </c>
    </row>
    <row r="166" spans="1:1">
      <c r="A166" t="s">
        <v>163</v>
      </c>
    </row>
    <row r="167" spans="1:1">
      <c r="A167" t="s">
        <v>164</v>
      </c>
    </row>
    <row r="169" spans="1:1">
      <c r="A169" t="s">
        <v>165</v>
      </c>
    </row>
    <row r="170" spans="1:1">
      <c r="A170" t="s">
        <v>166</v>
      </c>
    </row>
    <row r="171" spans="1:1">
      <c r="A171" t="s">
        <v>167</v>
      </c>
    </row>
    <row r="173" spans="1:1">
      <c r="A173" t="s">
        <v>168</v>
      </c>
    </row>
    <row r="174" spans="1:1">
      <c r="A174" t="s">
        <v>169</v>
      </c>
    </row>
    <row r="175" spans="1:1">
      <c r="A175" t="s">
        <v>170</v>
      </c>
    </row>
    <row r="177" spans="1:1">
      <c r="A177" t="s">
        <v>171</v>
      </c>
    </row>
    <row r="178" spans="1:1">
      <c r="A178" t="s">
        <v>172</v>
      </c>
    </row>
    <row r="179" spans="1:1">
      <c r="A179" t="s">
        <v>173</v>
      </c>
    </row>
    <row r="181" spans="1:1">
      <c r="A181" t="s">
        <v>67</v>
      </c>
    </row>
    <row r="182" spans="1:1">
      <c r="A182" t="s">
        <v>174</v>
      </c>
    </row>
    <row r="183" spans="1:1">
      <c r="A183" t="s">
        <v>67</v>
      </c>
    </row>
    <row r="185" spans="1:1">
      <c r="A185" t="s">
        <v>175</v>
      </c>
    </row>
    <row r="186" spans="1:1">
      <c r="A186" t="s">
        <v>82</v>
      </c>
    </row>
    <row r="188" spans="1:1">
      <c r="A188" t="s">
        <v>176</v>
      </c>
    </row>
    <row r="189" spans="1:1">
      <c r="A189" t="s">
        <v>177</v>
      </c>
    </row>
    <row r="191" spans="1:1">
      <c r="A191" t="s">
        <v>178</v>
      </c>
    </row>
    <row r="192" spans="1:1">
      <c r="A192" t="s">
        <v>179</v>
      </c>
    </row>
    <row r="194" spans="1:1">
      <c r="A194" t="s">
        <v>180</v>
      </c>
    </row>
    <row r="195" spans="1:1">
      <c r="A195" t="s">
        <v>181</v>
      </c>
    </row>
    <row r="197" spans="1:1">
      <c r="A197" t="s">
        <v>182</v>
      </c>
    </row>
    <row r="198" spans="1:1">
      <c r="A198" t="s">
        <v>183</v>
      </c>
    </row>
    <row r="199" spans="1:1">
      <c r="A199" t="s">
        <v>184</v>
      </c>
    </row>
    <row r="201" spans="1:1">
      <c r="A201" t="s">
        <v>185</v>
      </c>
    </row>
    <row r="202" spans="1:1">
      <c r="A202" t="s">
        <v>186</v>
      </c>
    </row>
    <row r="203" spans="1:1">
      <c r="A203" t="s">
        <v>187</v>
      </c>
    </row>
    <row r="205" spans="1:1">
      <c r="A205" t="s">
        <v>188</v>
      </c>
    </row>
    <row r="206" spans="1:1">
      <c r="A206" t="s">
        <v>189</v>
      </c>
    </row>
    <row r="208" spans="1:1">
      <c r="A208" t="s">
        <v>190</v>
      </c>
    </row>
    <row r="209" spans="1:1">
      <c r="A209" t="s">
        <v>191</v>
      </c>
    </row>
    <row r="212" spans="1:1">
      <c r="A212" t="s">
        <v>192</v>
      </c>
    </row>
    <row r="213" spans="1:1">
      <c r="A213" t="s">
        <v>82</v>
      </c>
    </row>
    <row r="215" spans="1:1">
      <c r="A215" t="s">
        <v>193</v>
      </c>
    </row>
    <row r="216" spans="1:1">
      <c r="A216" t="s">
        <v>194</v>
      </c>
    </row>
    <row r="217" spans="1:1">
      <c r="A217" t="s">
        <v>195</v>
      </c>
    </row>
    <row r="219" spans="1:1">
      <c r="A219" t="s">
        <v>196</v>
      </c>
    </row>
    <row r="220" spans="1:1">
      <c r="A220" t="s">
        <v>197</v>
      </c>
    </row>
    <row r="222" spans="1:1">
      <c r="A222" t="s">
        <v>198</v>
      </c>
    </row>
    <row r="223" spans="1:1">
      <c r="A223" t="s">
        <v>199</v>
      </c>
    </row>
    <row r="225" spans="1:1">
      <c r="A225" t="s">
        <v>200</v>
      </c>
    </row>
    <row r="226" spans="1:1">
      <c r="A226" t="s">
        <v>201</v>
      </c>
    </row>
    <row r="228" spans="1:1">
      <c r="A228" t="s">
        <v>202</v>
      </c>
    </row>
    <row r="229" spans="1:1">
      <c r="A229" t="s">
        <v>203</v>
      </c>
    </row>
    <row r="230" spans="1:1">
      <c r="A230" t="s">
        <v>204</v>
      </c>
    </row>
    <row r="232" spans="1:1">
      <c r="A232" t="s">
        <v>205</v>
      </c>
    </row>
    <row r="233" spans="1:1">
      <c r="A233" t="s">
        <v>206</v>
      </c>
    </row>
    <row r="235" spans="1:1">
      <c r="A235" t="s">
        <v>67</v>
      </c>
    </row>
    <row r="236" spans="1:1">
      <c r="A236" t="s">
        <v>207</v>
      </c>
    </row>
    <row r="237" spans="1:1">
      <c r="A237" t="s">
        <v>67</v>
      </c>
    </row>
    <row r="239" spans="1:1">
      <c r="A239" t="s">
        <v>208</v>
      </c>
    </row>
    <row r="240" spans="1:1">
      <c r="A240" t="s">
        <v>82</v>
      </c>
    </row>
    <row r="242" spans="1:1">
      <c r="A242" t="s">
        <v>209</v>
      </c>
    </row>
    <row r="243" spans="1:1">
      <c r="A243" t="s">
        <v>210</v>
      </c>
    </row>
    <row r="244" spans="1:1">
      <c r="A244" t="s">
        <v>211</v>
      </c>
    </row>
    <row r="246" spans="1:1">
      <c r="A246" t="s">
        <v>212</v>
      </c>
    </row>
    <row r="247" spans="1:1">
      <c r="A247" t="s">
        <v>213</v>
      </c>
    </row>
    <row r="250" spans="1:1">
      <c r="A250" t="s">
        <v>214</v>
      </c>
    </row>
    <row r="251" spans="1:1">
      <c r="A251" t="s">
        <v>82</v>
      </c>
    </row>
    <row r="253" spans="1:1">
      <c r="A253" t="s">
        <v>215</v>
      </c>
    </row>
    <row r="254" spans="1:1">
      <c r="A254" t="e" cm="1">
        <f t="array" ref="A254">- Omit the icon (the SC monogram must always be present)</f>
        <v>#NAME?</v>
      </c>
    </row>
    <row r="255" spans="1:1">
      <c r="A255" t="e" cm="1">
        <f t="array" ref="A255">- Rearrange the logo elements</f>
        <v>#NAME?</v>
      </c>
    </row>
    <row r="256" spans="1:1">
      <c r="A256" t="s">
        <v>216</v>
      </c>
    </row>
    <row r="257" spans="1:1">
      <c r="A257" t="s">
        <v>217</v>
      </c>
    </row>
    <row r="258" spans="1:1">
      <c r="A258" t="s">
        <v>218</v>
      </c>
    </row>
    <row r="259" spans="1:1">
      <c r="A259" t="s">
        <v>219</v>
      </c>
    </row>
    <row r="261" spans="1:1">
      <c r="A261" t="s">
        <v>67</v>
      </c>
    </row>
    <row r="262" spans="1:1">
      <c r="A262" t="s">
        <v>220</v>
      </c>
    </row>
    <row r="263" spans="1:1">
      <c r="A263" t="s">
        <v>67</v>
      </c>
    </row>
    <row r="265" spans="1:1">
      <c r="A265" t="s">
        <v>221</v>
      </c>
    </row>
    <row r="266" spans="1:1">
      <c r="A266" t="s">
        <v>82</v>
      </c>
    </row>
    <row r="268" spans="1:1">
      <c r="A268" t="s">
        <v>222</v>
      </c>
    </row>
    <row r="269" spans="1:1">
      <c r="A269" t="s">
        <v>223</v>
      </c>
    </row>
    <row r="270" spans="1:1">
      <c r="A270" t="s">
        <v>224</v>
      </c>
    </row>
    <row r="271" spans="1:1">
      <c r="A271" t="s">
        <v>225</v>
      </c>
    </row>
    <row r="272" spans="1:1">
      <c r="A272" t="s">
        <v>226</v>
      </c>
    </row>
    <row r="274" spans="1:1">
      <c r="A274" t="s">
        <v>227</v>
      </c>
    </row>
    <row r="275" spans="1:1">
      <c r="A275" t="s">
        <v>228</v>
      </c>
    </row>
    <row r="276" spans="1:1">
      <c r="A276" t="s">
        <v>229</v>
      </c>
    </row>
    <row r="277" spans="1:1">
      <c r="A277" t="s">
        <v>230</v>
      </c>
    </row>
    <row r="278" spans="1:1">
      <c r="A278" t="s">
        <v>231</v>
      </c>
    </row>
    <row r="281" spans="1:1">
      <c r="A281" t="s">
        <v>232</v>
      </c>
    </row>
    <row r="282" spans="1:1">
      <c r="A282" t="s">
        <v>82</v>
      </c>
    </row>
    <row r="284" spans="1:1">
      <c r="A284" t="s">
        <v>233</v>
      </c>
    </row>
    <row r="285" spans="1:1">
      <c r="A285" t="s">
        <v>234</v>
      </c>
    </row>
    <row r="286" spans="1:1">
      <c r="A286" t="s">
        <v>235</v>
      </c>
    </row>
    <row r="287" spans="1:1">
      <c r="A287" t="s">
        <v>236</v>
      </c>
    </row>
    <row r="288" spans="1:1">
      <c r="A288" t="s">
        <v>237</v>
      </c>
    </row>
    <row r="290" spans="1:1">
      <c r="A290" t="s">
        <v>238</v>
      </c>
    </row>
    <row r="291" spans="1:1">
      <c r="A291" t="s">
        <v>239</v>
      </c>
    </row>
    <row r="292" spans="1:1">
      <c r="A292" t="s">
        <v>240</v>
      </c>
    </row>
    <row r="293" spans="1:1">
      <c r="A293" t="s">
        <v>241</v>
      </c>
    </row>
    <row r="294" spans="1:1">
      <c r="A294" t="s">
        <v>242</v>
      </c>
    </row>
    <row r="296" spans="1:1">
      <c r="A296" t="s">
        <v>67</v>
      </c>
    </row>
    <row r="297" spans="1:1">
      <c r="A297" t="s">
        <v>243</v>
      </c>
    </row>
    <row r="298" spans="1:1">
      <c r="A298" t="s">
        <v>67</v>
      </c>
    </row>
    <row r="300" spans="1:1">
      <c r="A300" t="s">
        <v>244</v>
      </c>
    </row>
    <row r="301" spans="1:1">
      <c r="A301" t="s">
        <v>82</v>
      </c>
    </row>
    <row r="303" spans="1:1">
      <c r="A303" t="s">
        <v>245</v>
      </c>
    </row>
    <row r="304" spans="1:1">
      <c r="A304" t="s">
        <v>246</v>
      </c>
    </row>
    <row r="306" spans="1:1">
      <c r="A306" t="s">
        <v>247</v>
      </c>
    </row>
    <row r="307" spans="1:1">
      <c r="A307" t="s">
        <v>248</v>
      </c>
    </row>
    <row r="308" spans="1:1">
      <c r="A308" t="s">
        <v>249</v>
      </c>
    </row>
    <row r="309" spans="1:1">
      <c r="A309">
        <v>1234567890</v>
      </c>
    </row>
    <row r="312" spans="1:1">
      <c r="A312" t="s">
        <v>250</v>
      </c>
    </row>
    <row r="313" spans="1:1">
      <c r="A313" t="s">
        <v>82</v>
      </c>
    </row>
    <row r="315" spans="1:1">
      <c r="A315" t="s">
        <v>251</v>
      </c>
    </row>
    <row r="316" spans="1:1">
      <c r="A316" t="s">
        <v>252</v>
      </c>
    </row>
    <row r="318" spans="1:1">
      <c r="A318" t="s">
        <v>247</v>
      </c>
    </row>
    <row r="319" spans="1:1">
      <c r="A319" t="s">
        <v>248</v>
      </c>
    </row>
    <row r="320" spans="1:1">
      <c r="A320" t="s">
        <v>249</v>
      </c>
    </row>
    <row r="321" spans="1:1">
      <c r="A321">
        <v>1234567890</v>
      </c>
    </row>
    <row r="323" spans="1:1">
      <c r="A323" t="s">
        <v>67</v>
      </c>
    </row>
    <row r="324" spans="1:1">
      <c r="A324" t="s">
        <v>253</v>
      </c>
    </row>
    <row r="325" spans="1:1">
      <c r="A325" t="s">
        <v>67</v>
      </c>
    </row>
    <row r="327" spans="1:1">
      <c r="A327" t="s">
        <v>254</v>
      </c>
    </row>
    <row r="328" spans="1:1">
      <c r="A328" t="s">
        <v>82</v>
      </c>
    </row>
    <row r="330" spans="1:1">
      <c r="A330" t="e" cm="1">
        <f t="array" ref="A330">- Progress starts with people.</f>
        <v>#NAME?</v>
      </c>
    </row>
    <row r="331" spans="1:1">
      <c r="A331" t="s">
        <v>255</v>
      </c>
    </row>
    <row r="332" spans="1:1">
      <c r="A332" t="e" cm="1">
        <f t="array" ref="A332">- Invest in growth. Invest in South Africa.</f>
        <v>#NAME?</v>
      </c>
    </row>
    <row r="333" spans="1:1">
      <c r="A333" t="s">
        <v>256</v>
      </c>
    </row>
    <row r="334" spans="1:1">
      <c r="A334" t="s">
        <v>257</v>
      </c>
    </row>
    <row r="337" spans="1:1">
      <c r="A337" t="s">
        <v>258</v>
      </c>
    </row>
    <row r="338" spans="1:1">
      <c r="A338" t="s">
        <v>82</v>
      </c>
    </row>
    <row r="340" spans="1:1">
      <c r="A340" t="s">
        <v>259</v>
      </c>
    </row>
    <row r="341" spans="1:1">
      <c r="A341" t="s">
        <v>260</v>
      </c>
    </row>
    <row r="342" spans="1:1">
      <c r="A342" t="s">
        <v>261</v>
      </c>
    </row>
    <row r="343" spans="1:1">
      <c r="A343" t="s">
        <v>262</v>
      </c>
    </row>
    <row r="344" spans="1:1">
      <c r="A344" t="s">
        <v>263</v>
      </c>
    </row>
    <row r="345" spans="1:1">
      <c r="A345" t="s">
        <v>264</v>
      </c>
    </row>
    <row r="346" spans="1:1">
      <c r="A346" t="s">
        <v>265</v>
      </c>
    </row>
    <row r="349" spans="1:1">
      <c r="A349" t="s">
        <v>266</v>
      </c>
    </row>
    <row r="350" spans="1:1">
      <c r="A350" t="s">
        <v>82</v>
      </c>
    </row>
    <row r="352" spans="1:1">
      <c r="A352" t="s">
        <v>267</v>
      </c>
    </row>
    <row r="353" spans="1:1">
      <c r="A353" t="e" cm="1">
        <f t="array" ref="A353">- A new future starts here. Invest in your people.</f>
        <v>#NAME?</v>
      </c>
    </row>
    <row r="354" spans="1:1">
      <c r="A354" t="e" cm="1">
        <f t="array" ref="A354">- the brighter tomorrow We all imagine begins with choices We make today.</f>
        <v>#NAME?</v>
      </c>
    </row>
    <row r="355" spans="1:1">
      <c r="A355" t="e" cm="1">
        <f t="array" ref="A355">- Partner with SpecCon — Where knowledge meets opportunity.</f>
        <v>#NAME?</v>
      </c>
    </row>
    <row r="356" spans="1:1">
      <c r="A356" t="s">
        <v>268</v>
      </c>
    </row>
    <row r="358" spans="1:1">
      <c r="A358" t="s">
        <v>67</v>
      </c>
    </row>
    <row r="359" spans="1:1">
      <c r="A359" t="s">
        <v>269</v>
      </c>
    </row>
    <row r="360" spans="1:1">
      <c r="A360" t="s">
        <v>67</v>
      </c>
    </row>
    <row r="362" spans="1:1">
      <c r="A362" t="s">
        <v>270</v>
      </c>
    </row>
    <row r="363" spans="1:1">
      <c r="A363" t="s">
        <v>82</v>
      </c>
    </row>
    <row r="365" spans="1:1">
      <c r="A365" t="s">
        <v>271</v>
      </c>
    </row>
    <row r="366" spans="1:1">
      <c r="A366" t="s">
        <v>272</v>
      </c>
    </row>
    <row r="368" spans="1:1">
      <c r="A368" t="s">
        <v>273</v>
      </c>
    </row>
    <row r="369" spans="1:1">
      <c r="A369" t="s">
        <v>274</v>
      </c>
    </row>
    <row r="371" spans="1:1">
      <c r="A371" t="s">
        <v>275</v>
      </c>
    </row>
    <row r="372" spans="1:1">
      <c r="A372" t="s">
        <v>276</v>
      </c>
    </row>
    <row r="374" spans="1:1">
      <c r="A374" t="s">
        <v>277</v>
      </c>
    </row>
    <row r="375" spans="1:1">
      <c r="A375" t="s">
        <v>278</v>
      </c>
    </row>
    <row r="376" spans="1:1">
      <c r="A376" t="s">
        <v>279</v>
      </c>
    </row>
    <row r="379" spans="1:1">
      <c r="A379" t="s">
        <v>280</v>
      </c>
    </row>
    <row r="380" spans="1:1">
      <c r="A380" t="s">
        <v>82</v>
      </c>
    </row>
    <row r="382" spans="1:1">
      <c r="A382" t="s">
        <v>281</v>
      </c>
    </row>
    <row r="383" spans="1:1">
      <c r="A383" t="s">
        <v>282</v>
      </c>
    </row>
    <row r="384" spans="1:1">
      <c r="A384" t="s">
        <v>283</v>
      </c>
    </row>
    <row r="386" spans="1:1">
      <c r="A386" t="s">
        <v>284</v>
      </c>
    </row>
    <row r="387" spans="1:1">
      <c r="A387" t="s">
        <v>285</v>
      </c>
    </row>
    <row r="389" spans="1:1">
      <c r="A389" t="s">
        <v>286</v>
      </c>
    </row>
    <row r="390" spans="1:1">
      <c r="A390" t="s">
        <v>287</v>
      </c>
    </row>
    <row r="392" spans="1:1">
      <c r="A392" t="s">
        <v>288</v>
      </c>
    </row>
    <row r="393" spans="1:1">
      <c r="A393" t="s">
        <v>289</v>
      </c>
    </row>
    <row r="395" spans="1:1">
      <c r="A395" t="s">
        <v>67</v>
      </c>
    </row>
    <row r="396" spans="1:1">
      <c r="A396" t="s">
        <v>290</v>
      </c>
    </row>
    <row r="397" spans="1:1">
      <c r="A397" t="s">
        <v>67</v>
      </c>
    </row>
    <row r="399" spans="1:1">
      <c r="A399" t="s">
        <v>291</v>
      </c>
    </row>
    <row r="400" spans="1:1">
      <c r="A400" t="s">
        <v>82</v>
      </c>
    </row>
    <row r="402" spans="1:1">
      <c r="A402" t="s">
        <v>292</v>
      </c>
    </row>
    <row r="404" spans="1:1">
      <c r="A404" t="s">
        <v>293</v>
      </c>
    </row>
    <row r="405" spans="1:1">
      <c r="A405" t="s">
        <v>294</v>
      </c>
    </row>
    <row r="406" spans="1:1">
      <c r="A406" t="s">
        <v>295</v>
      </c>
    </row>
    <row r="408" spans="1:1">
      <c r="A408" t="s">
        <v>296</v>
      </c>
    </row>
    <row r="409" spans="1:1">
      <c r="A409" t="s">
        <v>297</v>
      </c>
    </row>
    <row r="411" spans="1:1">
      <c r="A411" t="s">
        <v>298</v>
      </c>
    </row>
    <row r="412" spans="1:1">
      <c r="A412" t="s">
        <v>299</v>
      </c>
    </row>
    <row r="415" spans="1:1">
      <c r="A415" t="s">
        <v>300</v>
      </c>
    </row>
    <row r="416" spans="1:1">
      <c r="A416" t="s">
        <v>82</v>
      </c>
    </row>
    <row r="418" spans="1:1">
      <c r="A418" t="s">
        <v>301</v>
      </c>
    </row>
    <row r="419" spans="1:1">
      <c r="A419" t="s">
        <v>302</v>
      </c>
    </row>
    <row r="420" spans="1:1">
      <c r="A420" t="s">
        <v>303</v>
      </c>
    </row>
    <row r="422" spans="1:1">
      <c r="A422" t="s">
        <v>304</v>
      </c>
    </row>
    <row r="423" spans="1:1">
      <c r="A423" t="s">
        <v>305</v>
      </c>
    </row>
    <row r="425" spans="1:1">
      <c r="A425" t="s">
        <v>306</v>
      </c>
    </row>
    <row r="426" spans="1:1">
      <c r="A426" t="s">
        <v>307</v>
      </c>
    </row>
    <row r="427" spans="1:1">
      <c r="A427" t="s">
        <v>308</v>
      </c>
    </row>
    <row r="429" spans="1:1">
      <c r="A429" t="s">
        <v>67</v>
      </c>
    </row>
    <row r="430" spans="1:1">
      <c r="A430" t="s">
        <v>309</v>
      </c>
    </row>
    <row r="431" spans="1:1">
      <c r="A431" t="s">
        <v>67</v>
      </c>
    </row>
    <row r="433" spans="1:1">
      <c r="A433" t="s">
        <v>310</v>
      </c>
    </row>
    <row r="434" spans="1:1">
      <c r="A434" t="s">
        <v>82</v>
      </c>
    </row>
    <row r="436" spans="1:1">
      <c r="A436" t="s">
        <v>311</v>
      </c>
    </row>
    <row r="437" spans="1:1">
      <c r="A437" t="s">
        <v>312</v>
      </c>
    </row>
    <row r="439" spans="1:1">
      <c r="A439" t="s">
        <v>313</v>
      </c>
    </row>
    <row r="440" spans="1:1">
      <c r="A440" t="s">
        <v>314</v>
      </c>
    </row>
    <row r="442" spans="1:1">
      <c r="A442" t="s">
        <v>315</v>
      </c>
    </row>
    <row r="443" spans="1:1">
      <c r="A443" t="s">
        <v>316</v>
      </c>
    </row>
    <row r="444" spans="1:1">
      <c r="A444" t="s">
        <v>317</v>
      </c>
    </row>
    <row r="446" spans="1:1">
      <c r="A446" t="s">
        <v>318</v>
      </c>
    </row>
    <row r="447" spans="1:1">
      <c r="A447" t="s">
        <v>319</v>
      </c>
    </row>
    <row r="448" spans="1:1">
      <c r="A448" t="s">
        <v>320</v>
      </c>
    </row>
    <row r="450" spans="1:1">
      <c r="A450" t="s">
        <v>321</v>
      </c>
    </row>
    <row r="451" spans="1:1">
      <c r="A451" t="s">
        <v>322</v>
      </c>
    </row>
    <row r="452" spans="1:1">
      <c r="A452" t="s">
        <v>323</v>
      </c>
    </row>
    <row r="453" spans="1:1">
      <c r="A453" t="s">
        <v>324</v>
      </c>
    </row>
    <row r="454" spans="1:1">
      <c r="A454" t="s">
        <v>325</v>
      </c>
    </row>
    <row r="455" spans="1:1">
      <c r="A455" t="s">
        <v>326</v>
      </c>
    </row>
    <row r="456" spans="1:1">
      <c r="A456" t="s">
        <v>327</v>
      </c>
    </row>
    <row r="458" spans="1:1">
      <c r="A458" t="s">
        <v>67</v>
      </c>
    </row>
    <row r="459" spans="1:1">
      <c r="A459" t="s">
        <v>328</v>
      </c>
    </row>
    <row r="460" spans="1:1">
      <c r="A460" t="s">
        <v>67</v>
      </c>
    </row>
    <row r="462" spans="1:1">
      <c r="A462" t="s">
        <v>329</v>
      </c>
    </row>
    <row r="463" spans="1:1">
      <c r="A463" t="s">
        <v>82</v>
      </c>
    </row>
    <row r="465" spans="1:1">
      <c r="A465" t="s">
        <v>330</v>
      </c>
    </row>
    <row r="466" spans="1:1">
      <c r="A466" t="s">
        <v>331</v>
      </c>
    </row>
    <row r="468" spans="1:1">
      <c r="A468" t="s">
        <v>332</v>
      </c>
    </row>
    <row r="469" spans="1:1">
      <c r="A469" t="s">
        <v>333</v>
      </c>
    </row>
    <row r="471" spans="1:1">
      <c r="A471" t="s">
        <v>334</v>
      </c>
    </row>
    <row r="472" spans="1:1">
      <c r="A472" t="s">
        <v>335</v>
      </c>
    </row>
    <row r="474" spans="1:1">
      <c r="A474" t="s">
        <v>336</v>
      </c>
    </row>
    <row r="475" spans="1:1">
      <c r="A475" t="s">
        <v>337</v>
      </c>
    </row>
    <row r="478" spans="1:1">
      <c r="A478" t="s">
        <v>338</v>
      </c>
    </row>
    <row r="479" spans="1:1">
      <c r="A479" t="s">
        <v>82</v>
      </c>
    </row>
    <row r="481" spans="1:1">
      <c r="A481" t="s">
        <v>339</v>
      </c>
    </row>
    <row r="482" spans="1:1">
      <c r="A482" t="s">
        <v>340</v>
      </c>
    </row>
    <row r="483" spans="1:1">
      <c r="A483" t="s">
        <v>341</v>
      </c>
    </row>
    <row r="484" spans="1:1">
      <c r="A484" t="s">
        <v>342</v>
      </c>
    </row>
    <row r="486" spans="1:1">
      <c r="A486" t="s">
        <v>343</v>
      </c>
    </row>
    <row r="487" spans="1:1">
      <c r="A487" t="s">
        <v>344</v>
      </c>
    </row>
    <row r="488" spans="1:1">
      <c r="A488" t="s">
        <v>345</v>
      </c>
    </row>
    <row r="489" spans="1:1">
      <c r="A489" t="s">
        <v>346</v>
      </c>
    </row>
    <row r="491" spans="1:1">
      <c r="A491" t="s">
        <v>347</v>
      </c>
    </row>
    <row r="492" spans="1:1">
      <c r="A492" t="s">
        <v>348</v>
      </c>
    </row>
    <row r="493" spans="1:1">
      <c r="A493" t="s">
        <v>349</v>
      </c>
    </row>
    <row r="494" spans="1:1">
      <c r="A494" t="s">
        <v>350</v>
      </c>
    </row>
    <row r="497" spans="1:1">
      <c r="A497" t="s">
        <v>351</v>
      </c>
    </row>
    <row r="498" spans="1:1">
      <c r="A498" t="s">
        <v>82</v>
      </c>
    </row>
    <row r="500" spans="1:1">
      <c r="A500" t="s">
        <v>352</v>
      </c>
    </row>
    <row r="501" spans="1:1">
      <c r="A501" t="s">
        <v>353</v>
      </c>
    </row>
    <row r="502" spans="1:1">
      <c r="A502" t="s">
        <v>354</v>
      </c>
    </row>
    <row r="504" spans="1:1">
      <c r="A504" t="s">
        <v>355</v>
      </c>
    </row>
    <row r="505" spans="1:1">
      <c r="A505" t="s">
        <v>356</v>
      </c>
    </row>
    <row r="506" spans="1:1">
      <c r="A506" t="s">
        <v>357</v>
      </c>
    </row>
    <row r="508" spans="1:1">
      <c r="A508" t="s">
        <v>358</v>
      </c>
    </row>
    <row r="509" spans="1:1">
      <c r="A509" t="s">
        <v>359</v>
      </c>
    </row>
    <row r="510" spans="1:1">
      <c r="A510" t="s">
        <v>360</v>
      </c>
    </row>
    <row r="512" spans="1:1">
      <c r="A512" t="s">
        <v>361</v>
      </c>
    </row>
    <row r="513" spans="1:1">
      <c r="A513" t="s">
        <v>362</v>
      </c>
    </row>
    <row r="514" spans="1:1">
      <c r="A514" t="s">
        <v>363</v>
      </c>
    </row>
    <row r="517" spans="1:1">
      <c r="A517" t="s">
        <v>364</v>
      </c>
    </row>
    <row r="518" spans="1:1">
      <c r="A518" t="s">
        <v>82</v>
      </c>
    </row>
    <row r="520" spans="1:1">
      <c r="A520" t="s">
        <v>365</v>
      </c>
    </row>
    <row r="521" spans="1:1">
      <c r="A521" t="s">
        <v>366</v>
      </c>
    </row>
    <row r="522" spans="1:1">
      <c r="A522" t="s">
        <v>367</v>
      </c>
    </row>
    <row r="523" spans="1:1">
      <c r="A523" t="s">
        <v>368</v>
      </c>
    </row>
    <row r="525" spans="1:1">
      <c r="A525" t="s">
        <v>369</v>
      </c>
    </row>
    <row r="526" spans="1:1" ht="409.5">
      <c r="A526" s="15" t="s">
        <v>370</v>
      </c>
    </row>
    <row r="529" spans="1:1">
      <c r="A529" t="s">
        <v>371</v>
      </c>
    </row>
    <row r="530" spans="1:1">
      <c r="A530" t="s">
        <v>372</v>
      </c>
    </row>
    <row r="531" spans="1:1">
      <c r="A531" t="s">
        <v>373</v>
      </c>
    </row>
    <row r="532" spans="1:1">
      <c r="A532" t="s">
        <v>374</v>
      </c>
    </row>
    <row r="534" spans="1:1">
      <c r="A534" t="s">
        <v>369</v>
      </c>
    </row>
    <row r="535" spans="1:1" ht="409.5">
      <c r="A535" s="15" t="s">
        <v>375</v>
      </c>
    </row>
    <row r="538" spans="1:1">
      <c r="A538" t="s">
        <v>376</v>
      </c>
    </row>
    <row r="539" spans="1:1">
      <c r="A539" t="s">
        <v>377</v>
      </c>
    </row>
    <row r="540" spans="1:1">
      <c r="A540" t="s">
        <v>378</v>
      </c>
    </row>
    <row r="541" spans="1:1">
      <c r="A541" t="s">
        <v>368</v>
      </c>
    </row>
    <row r="543" spans="1:1">
      <c r="A543" t="s">
        <v>379</v>
      </c>
    </row>
    <row r="544" spans="1:1" ht="409.5">
      <c r="A544" s="15" t="s">
        <v>380</v>
      </c>
    </row>
    <row r="546" spans="1:1">
      <c r="A546" t="s">
        <v>67</v>
      </c>
    </row>
    <row r="547" spans="1:1">
      <c r="A547" t="s">
        <v>381</v>
      </c>
    </row>
    <row r="548" spans="1:1">
      <c r="A548" t="s">
        <v>67</v>
      </c>
    </row>
    <row r="550" spans="1:1">
      <c r="A550" t="s">
        <v>382</v>
      </c>
    </row>
    <row r="552" spans="1:1">
      <c r="A552" t="e" cm="1">
        <f t="array" ref="A552">- Corporate Profile Cover</f>
        <v>#NAME?</v>
      </c>
    </row>
    <row r="553" spans="1:1">
      <c r="A553" t="s">
        <v>383</v>
      </c>
    </row>
    <row r="554" spans="1:1">
      <c r="A554" t="e" cm="1">
        <f t="array" ref="A554">- Website Landing / Hero Section</f>
        <v>#NAME?</v>
      </c>
    </row>
    <row r="555" spans="1:1">
      <c r="A555" t="e" cm="1">
        <f t="array" ref="A555">- Presentation Cover</f>
        <v>#NAME?</v>
      </c>
    </row>
    <row r="556" spans="1:1">
      <c r="A556" t="e" cm="1">
        <f t="array" ref="A556">- Social Media Post Templates (Instagram, Facebook, LinkedIn)</f>
        <v>#NAME?</v>
      </c>
    </row>
    <row r="557" spans="1:1">
      <c r="A557" t="e" cm="1">
        <f t="array" ref="A557">- Marketing Collateral Layouts</f>
        <v>#NAME?</v>
      </c>
    </row>
    <row r="559" spans="1:1">
      <c r="A559" t="s">
        <v>384</v>
      </c>
    </row>
    <row r="560" spans="1:1">
      <c r="A560" t="e" cm="1">
        <f t="array" ref="A560">- the SpecCon logo prominently displayed</f>
        <v>#NAME?</v>
      </c>
    </row>
    <row r="561" spans="1:1">
      <c r="A561" t="s">
        <v>385</v>
      </c>
    </row>
    <row r="562" spans="1:1">
      <c r="A562" t="s">
        <v>386</v>
      </c>
    </row>
    <row r="563" spans="1:1">
      <c r="A563" t="e" cm="1">
        <f t="array" ref="A563">- Roboto typography</f>
        <v>#NAME?</v>
      </c>
    </row>
    <row r="564" spans="1:1">
      <c r="A564" t="e" cm="1">
        <f t="array" ref="A564">- colour overlay treatments Where appropriate</f>
        <v>#NAME?</v>
      </c>
    </row>
    <row r="565" spans="1:1">
      <c r="A565" t="e" cm="1">
        <f t="array" ref="A565">- Clear hierarchy of information</f>
        <v>#NAME?</v>
      </c>
    </row>
    <row r="567" spans="1:1">
      <c r="A567" t="s">
        <v>67</v>
      </c>
    </row>
    <row r="568" spans="1:1">
      <c r="A568" t="s">
        <v>387</v>
      </c>
    </row>
    <row r="569" spans="1:1">
      <c r="A569" t="s">
        <v>67</v>
      </c>
    </row>
    <row r="571" spans="1:1">
      <c r="A571" t="s">
        <v>388</v>
      </c>
    </row>
    <row r="573" spans="1:1">
      <c r="A573" t="e" cm="1">
        <f t="array" ref="A573">- Megro learning</f>
        <v>#NAME?</v>
      </c>
    </row>
    <row r="574" spans="1:1">
      <c r="A574" t="e" cm="1">
        <f t="array" ref="A574">- Andebe Group</f>
        <v>#NAME?</v>
      </c>
    </row>
    <row r="575" spans="1:1">
      <c r="A575" t="e" cm="1">
        <f t="array" ref="A575">- SpecCon Academy</f>
        <v>#NAME?</v>
      </c>
    </row>
    <row r="576" spans="1:1">
      <c r="A576" t="e" cm="1">
        <f t="array" ref="A576">- TAP (Training Academy Programme)</f>
        <v>#NAME?</v>
      </c>
    </row>
    <row r="578" spans="1:1">
      <c r="A578" t="s">
        <v>389</v>
      </c>
    </row>
    <row r="579" spans="1:1">
      <c r="A579" t="s">
        <v>390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FD908-BAC0-4E24-A15C-B780EF3F3C68}">
  <sheetPr>
    <tabColor theme="4" tint="-0.249977111117893"/>
  </sheetPr>
  <dimension ref="A1:A364"/>
  <sheetViews>
    <sheetView showGridLines="0" workbookViewId="0">
      <selection activeCell="L11" sqref="L11"/>
    </sheetView>
  </sheetViews>
  <sheetFormatPr defaultRowHeight="14.5"/>
  <sheetData>
    <row r="1" spans="1:1">
      <c r="A1" t="s">
        <v>67</v>
      </c>
    </row>
    <row r="2" spans="1:1">
      <c r="A2" t="s">
        <v>391</v>
      </c>
    </row>
    <row r="3" spans="1:1">
      <c r="A3" t="s">
        <v>392</v>
      </c>
    </row>
    <row r="4" spans="1:1">
      <c r="A4" t="s">
        <v>67</v>
      </c>
    </row>
    <row r="6" spans="1:1">
      <c r="A6" t="s">
        <v>393</v>
      </c>
    </row>
    <row r="7" spans="1:1">
      <c r="A7" t="s">
        <v>394</v>
      </c>
    </row>
    <row r="8" spans="1:1">
      <c r="A8" t="s">
        <v>395</v>
      </c>
    </row>
    <row r="9" spans="1:1">
      <c r="A9" t="s">
        <v>396</v>
      </c>
    </row>
    <row r="10" spans="1:1">
      <c r="A10" t="s">
        <v>397</v>
      </c>
    </row>
    <row r="11" spans="1:1">
      <c r="A11" t="s">
        <v>398</v>
      </c>
    </row>
    <row r="12" spans="1:1">
      <c r="A12" t="s">
        <v>399</v>
      </c>
    </row>
    <row r="13" spans="1:1">
      <c r="A13" t="s">
        <v>400</v>
      </c>
    </row>
    <row r="14" spans="1:1">
      <c r="A14" t="s">
        <v>401</v>
      </c>
    </row>
    <row r="15" spans="1:1">
      <c r="A15" t="s">
        <v>402</v>
      </c>
    </row>
    <row r="17" spans="1:1">
      <c r="A17" t="s">
        <v>67</v>
      </c>
    </row>
    <row r="18" spans="1:1">
      <c r="A18" t="s">
        <v>403</v>
      </c>
    </row>
    <row r="19" spans="1:1">
      <c r="A19" t="s">
        <v>67</v>
      </c>
    </row>
    <row r="21" spans="1:1">
      <c r="A21" t="s">
        <v>404</v>
      </c>
    </row>
    <row r="22" spans="1:1">
      <c r="A22" t="s">
        <v>405</v>
      </c>
    </row>
    <row r="23" spans="1:1">
      <c r="A23" t="s">
        <v>406</v>
      </c>
    </row>
    <row r="24" spans="1:1">
      <c r="A24" t="s">
        <v>407</v>
      </c>
    </row>
    <row r="25" spans="1:1">
      <c r="A25" t="s">
        <v>408</v>
      </c>
    </row>
    <row r="27" spans="1:1">
      <c r="A27" t="s">
        <v>409</v>
      </c>
    </row>
    <row r="28" spans="1:1">
      <c r="A28" t="s">
        <v>410</v>
      </c>
    </row>
    <row r="29" spans="1:1">
      <c r="A29" t="s">
        <v>411</v>
      </c>
    </row>
    <row r="30" spans="1:1">
      <c r="A30" t="s">
        <v>412</v>
      </c>
    </row>
    <row r="31" spans="1:1">
      <c r="A31" t="s">
        <v>413</v>
      </c>
    </row>
    <row r="32" spans="1:1">
      <c r="A32" t="s">
        <v>414</v>
      </c>
    </row>
    <row r="33" spans="1:1">
      <c r="A33" t="s">
        <v>415</v>
      </c>
    </row>
    <row r="35" spans="1:1">
      <c r="A35" t="s">
        <v>416</v>
      </c>
    </row>
    <row r="36" spans="1:1">
      <c r="A36" t="s">
        <v>417</v>
      </c>
    </row>
    <row r="37" spans="1:1">
      <c r="A37" t="s">
        <v>418</v>
      </c>
    </row>
    <row r="38" spans="1:1">
      <c r="A38" t="s">
        <v>419</v>
      </c>
    </row>
    <row r="39" spans="1:1">
      <c r="A39" t="s">
        <v>420</v>
      </c>
    </row>
    <row r="40" spans="1:1">
      <c r="A40" t="s">
        <v>421</v>
      </c>
    </row>
    <row r="41" spans="1:1">
      <c r="A41" t="s">
        <v>422</v>
      </c>
    </row>
    <row r="42" spans="1:1">
      <c r="A42" t="s">
        <v>423</v>
      </c>
    </row>
    <row r="45" spans="1:1">
      <c r="A45" t="s">
        <v>67</v>
      </c>
    </row>
    <row r="46" spans="1:1">
      <c r="A46" t="s">
        <v>424</v>
      </c>
    </row>
    <row r="47" spans="1:1">
      <c r="A47" t="s">
        <v>67</v>
      </c>
    </row>
    <row r="49" spans="1:1">
      <c r="A49" t="s">
        <v>221</v>
      </c>
    </row>
    <row r="50" spans="1:1">
      <c r="A50" t="s">
        <v>425</v>
      </c>
    </row>
    <row r="52" spans="1:1">
      <c r="A52" t="s">
        <v>426</v>
      </c>
    </row>
    <row r="53" spans="1:1">
      <c r="A53" t="s">
        <v>427</v>
      </c>
    </row>
    <row r="54" spans="1:1">
      <c r="A54" t="s">
        <v>428</v>
      </c>
    </row>
    <row r="55" spans="1:1">
      <c r="A55" t="s">
        <v>429</v>
      </c>
    </row>
    <row r="56" spans="1:1">
      <c r="A56" t="s">
        <v>430</v>
      </c>
    </row>
    <row r="58" spans="1:1">
      <c r="A58" t="s">
        <v>431</v>
      </c>
    </row>
    <row r="59" spans="1:1">
      <c r="A59" t="s">
        <v>432</v>
      </c>
    </row>
    <row r="60" spans="1:1">
      <c r="A60" t="s">
        <v>433</v>
      </c>
    </row>
    <row r="61" spans="1:1">
      <c r="A61" t="s">
        <v>434</v>
      </c>
    </row>
    <row r="62" spans="1:1">
      <c r="A62" t="s">
        <v>435</v>
      </c>
    </row>
    <row r="64" spans="1:1">
      <c r="A64" t="s">
        <v>436</v>
      </c>
    </row>
    <row r="65" spans="1:1">
      <c r="A65" t="s">
        <v>437</v>
      </c>
    </row>
    <row r="66" spans="1:1">
      <c r="A66" t="s">
        <v>438</v>
      </c>
    </row>
    <row r="67" spans="1:1">
      <c r="A67" t="s">
        <v>439</v>
      </c>
    </row>
    <row r="68" spans="1:1">
      <c r="A68" t="s">
        <v>440</v>
      </c>
    </row>
    <row r="70" spans="1:1">
      <c r="A70" t="s">
        <v>233</v>
      </c>
    </row>
    <row r="71" spans="1:1">
      <c r="A71" t="s">
        <v>441</v>
      </c>
    </row>
    <row r="72" spans="1:1">
      <c r="A72" t="s">
        <v>442</v>
      </c>
    </row>
    <row r="73" spans="1:1">
      <c r="A73" t="s">
        <v>443</v>
      </c>
    </row>
    <row r="74" spans="1:1">
      <c r="A74" t="s">
        <v>444</v>
      </c>
    </row>
    <row r="76" spans="1:1">
      <c r="A76" t="s">
        <v>445</v>
      </c>
    </row>
    <row r="77" spans="1:1">
      <c r="A77" t="s">
        <v>425</v>
      </c>
    </row>
    <row r="78" spans="1:1">
      <c r="A78" t="s">
        <v>446</v>
      </c>
    </row>
    <row r="79" spans="1:1">
      <c r="A79" t="s">
        <v>447</v>
      </c>
    </row>
    <row r="81" spans="1:1">
      <c r="A81" t="s">
        <v>448</v>
      </c>
    </row>
    <row r="82" spans="1:1">
      <c r="A82" t="s">
        <v>449</v>
      </c>
    </row>
    <row r="83" spans="1:1">
      <c r="A83" t="s">
        <v>450</v>
      </c>
    </row>
    <row r="84" spans="1:1">
      <c r="A84" t="s">
        <v>451</v>
      </c>
    </row>
    <row r="85" spans="1:1">
      <c r="A85" t="s">
        <v>452</v>
      </c>
    </row>
    <row r="86" spans="1:1">
      <c r="A86" t="s">
        <v>453</v>
      </c>
    </row>
    <row r="89" spans="1:1">
      <c r="A89" t="s">
        <v>67</v>
      </c>
    </row>
    <row r="90" spans="1:1">
      <c r="A90" t="s">
        <v>454</v>
      </c>
    </row>
    <row r="91" spans="1:1">
      <c r="A91" t="s">
        <v>67</v>
      </c>
    </row>
    <row r="93" spans="1:1">
      <c r="A93" t="s">
        <v>455</v>
      </c>
    </row>
    <row r="94" spans="1:1">
      <c r="A94" t="s">
        <v>394</v>
      </c>
    </row>
    <row r="96" spans="1:1">
      <c r="A96" t="s">
        <v>456</v>
      </c>
    </row>
    <row r="97" spans="1:1">
      <c r="A97" t="s">
        <v>457</v>
      </c>
    </row>
    <row r="98" spans="1:1">
      <c r="A98" t="s">
        <v>458</v>
      </c>
    </row>
    <row r="100" spans="1:1">
      <c r="A100" t="s">
        <v>459</v>
      </c>
    </row>
    <row r="101" spans="1:1">
      <c r="A101" t="s">
        <v>460</v>
      </c>
    </row>
    <row r="102" spans="1:1">
      <c r="A102">
        <v>1234567890</v>
      </c>
    </row>
    <row r="104" spans="1:1">
      <c r="A104" t="s">
        <v>461</v>
      </c>
    </row>
    <row r="105" spans="1:1">
      <c r="A105" t="s">
        <v>462</v>
      </c>
    </row>
    <row r="106" spans="1:1">
      <c r="A106" t="s">
        <v>463</v>
      </c>
    </row>
    <row r="107" spans="1:1">
      <c r="A107" t="s">
        <v>464</v>
      </c>
    </row>
    <row r="109" spans="1:1">
      <c r="A109" t="s">
        <v>465</v>
      </c>
    </row>
    <row r="110" spans="1:1">
      <c r="A110" t="s">
        <v>466</v>
      </c>
    </row>
    <row r="111" spans="1:1">
      <c r="A111">
        <v>1234567890</v>
      </c>
    </row>
    <row r="113" spans="1:1">
      <c r="A113" t="s">
        <v>467</v>
      </c>
    </row>
    <row r="114" spans="1:1">
      <c r="A114" t="s">
        <v>468</v>
      </c>
    </row>
    <row r="115" spans="1:1">
      <c r="A115" t="s">
        <v>469</v>
      </c>
    </row>
    <row r="116" spans="1:1">
      <c r="A116" t="s">
        <v>470</v>
      </c>
    </row>
    <row r="117" spans="1:1">
      <c r="A117" t="s">
        <v>471</v>
      </c>
    </row>
    <row r="118" spans="1:1">
      <c r="A118" t="s">
        <v>472</v>
      </c>
    </row>
    <row r="119" spans="1:1">
      <c r="A119" t="s">
        <v>473</v>
      </c>
    </row>
    <row r="122" spans="1:1">
      <c r="A122" t="s">
        <v>67</v>
      </c>
    </row>
    <row r="123" spans="1:1">
      <c r="A123" t="s">
        <v>474</v>
      </c>
    </row>
    <row r="124" spans="1:1">
      <c r="A124" t="s">
        <v>67</v>
      </c>
    </row>
    <row r="126" spans="1:1">
      <c r="A126" t="s">
        <v>475</v>
      </c>
    </row>
    <row r="127" spans="1:1">
      <c r="A127" t="s">
        <v>476</v>
      </c>
    </row>
    <row r="128" spans="1:1">
      <c r="A128" t="s">
        <v>477</v>
      </c>
    </row>
    <row r="129" spans="1:1">
      <c r="A129" t="s">
        <v>478</v>
      </c>
    </row>
    <row r="130" spans="1:1">
      <c r="A130" t="s">
        <v>479</v>
      </c>
    </row>
    <row r="132" spans="1:1">
      <c r="A132" t="s">
        <v>208</v>
      </c>
    </row>
    <row r="133" spans="1:1">
      <c r="A133" t="s">
        <v>480</v>
      </c>
    </row>
    <row r="134" spans="1:1">
      <c r="A134" t="s">
        <v>481</v>
      </c>
    </row>
    <row r="135" spans="1:1">
      <c r="A135" t="s">
        <v>482</v>
      </c>
    </row>
    <row r="136" spans="1:1">
      <c r="A136" t="s">
        <v>483</v>
      </c>
    </row>
    <row r="137" spans="1:1">
      <c r="A137" t="s">
        <v>484</v>
      </c>
    </row>
    <row r="139" spans="1:1">
      <c r="A139" t="s">
        <v>485</v>
      </c>
    </row>
    <row r="140" spans="1:1">
      <c r="A140" t="s">
        <v>425</v>
      </c>
    </row>
    <row r="141" spans="1:1">
      <c r="A141" t="s">
        <v>486</v>
      </c>
    </row>
    <row r="142" spans="1:1">
      <c r="A142" t="s">
        <v>487</v>
      </c>
    </row>
    <row r="143" spans="1:1">
      <c r="A143" t="s">
        <v>488</v>
      </c>
    </row>
    <row r="144" spans="1:1">
      <c r="A144" t="s">
        <v>489</v>
      </c>
    </row>
    <row r="146" spans="1:1">
      <c r="A146" t="s">
        <v>490</v>
      </c>
    </row>
    <row r="147" spans="1:1">
      <c r="A147" t="s">
        <v>405</v>
      </c>
    </row>
    <row r="148" spans="1:1">
      <c r="A148" t="s">
        <v>491</v>
      </c>
    </row>
    <row r="149" spans="1:1">
      <c r="A149" t="s">
        <v>492</v>
      </c>
    </row>
    <row r="150" spans="1:1">
      <c r="A150" t="s">
        <v>493</v>
      </c>
    </row>
    <row r="151" spans="1:1">
      <c r="A151" t="s">
        <v>494</v>
      </c>
    </row>
    <row r="152" spans="1:1">
      <c r="A152" t="s">
        <v>495</v>
      </c>
    </row>
    <row r="155" spans="1:1">
      <c r="A155" t="s">
        <v>67</v>
      </c>
    </row>
    <row r="156" spans="1:1">
      <c r="A156" t="s">
        <v>496</v>
      </c>
    </row>
    <row r="157" spans="1:1">
      <c r="A157" t="s">
        <v>67</v>
      </c>
    </row>
    <row r="159" spans="1:1">
      <c r="A159" t="s">
        <v>497</v>
      </c>
    </row>
    <row r="160" spans="1:1">
      <c r="A160" t="s">
        <v>498</v>
      </c>
    </row>
    <row r="161" spans="1:1">
      <c r="A161" t="s">
        <v>499</v>
      </c>
    </row>
    <row r="162" spans="1:1">
      <c r="A162" t="s">
        <v>500</v>
      </c>
    </row>
    <row r="163" spans="1:1">
      <c r="A163" t="s">
        <v>501</v>
      </c>
    </row>
    <row r="164" spans="1:1">
      <c r="A164" t="s">
        <v>502</v>
      </c>
    </row>
    <row r="165" spans="1:1">
      <c r="A165" t="s">
        <v>503</v>
      </c>
    </row>
    <row r="166" spans="1:1">
      <c r="A166" t="s">
        <v>504</v>
      </c>
    </row>
    <row r="167" spans="1:1">
      <c r="A167" t="s">
        <v>505</v>
      </c>
    </row>
    <row r="169" spans="1:1">
      <c r="A169" t="s">
        <v>506</v>
      </c>
    </row>
    <row r="170" spans="1:1">
      <c r="A170" t="s">
        <v>507</v>
      </c>
    </row>
    <row r="171" spans="1:1">
      <c r="A171" t="s">
        <v>508</v>
      </c>
    </row>
    <row r="172" spans="1:1">
      <c r="A172" t="s">
        <v>509</v>
      </c>
    </row>
    <row r="173" spans="1:1">
      <c r="A173" t="s">
        <v>510</v>
      </c>
    </row>
    <row r="174" spans="1:1">
      <c r="A174" t="s">
        <v>511</v>
      </c>
    </row>
    <row r="175" spans="1:1">
      <c r="A175" t="s">
        <v>512</v>
      </c>
    </row>
    <row r="176" spans="1:1">
      <c r="A176" t="s">
        <v>513</v>
      </c>
    </row>
    <row r="177" spans="1:1">
      <c r="A177" t="s">
        <v>514</v>
      </c>
    </row>
    <row r="178" spans="1:1">
      <c r="A178" t="s">
        <v>515</v>
      </c>
    </row>
    <row r="179" spans="1:1">
      <c r="A179" t="s">
        <v>516</v>
      </c>
    </row>
    <row r="181" spans="1:1">
      <c r="A181" t="s">
        <v>517</v>
      </c>
    </row>
    <row r="182" spans="1:1">
      <c r="A182" t="s">
        <v>449</v>
      </c>
    </row>
    <row r="183" spans="1:1">
      <c r="A183" t="s">
        <v>518</v>
      </c>
    </row>
    <row r="184" spans="1:1">
      <c r="A184" t="s">
        <v>519</v>
      </c>
    </row>
    <row r="185" spans="1:1">
      <c r="A185" t="s">
        <v>520</v>
      </c>
    </row>
    <row r="186" spans="1:1">
      <c r="A186" t="s">
        <v>521</v>
      </c>
    </row>
    <row r="187" spans="1:1">
      <c r="A187" t="s">
        <v>522</v>
      </c>
    </row>
    <row r="190" spans="1:1">
      <c r="A190" t="s">
        <v>67</v>
      </c>
    </row>
    <row r="191" spans="1:1">
      <c r="A191" t="s">
        <v>523</v>
      </c>
    </row>
    <row r="192" spans="1:1">
      <c r="A192" t="s">
        <v>67</v>
      </c>
    </row>
    <row r="194" spans="1:1">
      <c r="A194" t="s">
        <v>524</v>
      </c>
    </row>
    <row r="195" spans="1:1">
      <c r="A195" t="s">
        <v>507</v>
      </c>
    </row>
    <row r="196" spans="1:1">
      <c r="A196" t="s">
        <v>525</v>
      </c>
    </row>
    <row r="197" spans="1:1">
      <c r="A197" t="s">
        <v>526</v>
      </c>
    </row>
    <row r="198" spans="1:1">
      <c r="A198" t="s">
        <v>527</v>
      </c>
    </row>
    <row r="199" spans="1:1">
      <c r="A199" t="s">
        <v>528</v>
      </c>
    </row>
    <row r="200" spans="1:1">
      <c r="A200" t="s">
        <v>529</v>
      </c>
    </row>
    <row r="201" spans="1:1">
      <c r="A201" t="s">
        <v>530</v>
      </c>
    </row>
    <row r="203" spans="1:1">
      <c r="A203" t="s">
        <v>531</v>
      </c>
    </row>
    <row r="204" spans="1:1">
      <c r="A204" t="s">
        <v>507</v>
      </c>
    </row>
    <row r="205" spans="1:1">
      <c r="A205" t="s">
        <v>532</v>
      </c>
    </row>
    <row r="206" spans="1:1">
      <c r="A206" t="s">
        <v>533</v>
      </c>
    </row>
    <row r="207" spans="1:1">
      <c r="A207" t="s">
        <v>534</v>
      </c>
    </row>
    <row r="208" spans="1:1">
      <c r="A208" t="s">
        <v>535</v>
      </c>
    </row>
    <row r="209" spans="1:1">
      <c r="A209" t="s">
        <v>536</v>
      </c>
    </row>
    <row r="211" spans="1:1">
      <c r="A211" t="s">
        <v>537</v>
      </c>
    </row>
    <row r="212" spans="1:1">
      <c r="A212" t="s">
        <v>468</v>
      </c>
    </row>
    <row r="213" spans="1:1">
      <c r="A213" t="s">
        <v>538</v>
      </c>
    </row>
    <row r="214" spans="1:1">
      <c r="A214" t="s">
        <v>539</v>
      </c>
    </row>
    <row r="215" spans="1:1">
      <c r="A215" t="s">
        <v>540</v>
      </c>
    </row>
    <row r="217" spans="1:1">
      <c r="A217" t="s">
        <v>541</v>
      </c>
    </row>
    <row r="218" spans="1:1">
      <c r="A218" t="s">
        <v>542</v>
      </c>
    </row>
    <row r="219" spans="1:1">
      <c r="A219" t="s">
        <v>543</v>
      </c>
    </row>
    <row r="220" spans="1:1">
      <c r="A220" t="s">
        <v>544</v>
      </c>
    </row>
    <row r="221" spans="1:1">
      <c r="A221" t="s">
        <v>545</v>
      </c>
    </row>
    <row r="222" spans="1:1">
      <c r="A222" t="s">
        <v>546</v>
      </c>
    </row>
    <row r="224" spans="1:1">
      <c r="A224" t="s">
        <v>547</v>
      </c>
    </row>
    <row r="225" spans="1:1">
      <c r="A225" t="s">
        <v>542</v>
      </c>
    </row>
    <row r="226" spans="1:1">
      <c r="A226" t="s">
        <v>548</v>
      </c>
    </row>
    <row r="227" spans="1:1">
      <c r="A227" t="s">
        <v>549</v>
      </c>
    </row>
    <row r="228" spans="1:1">
      <c r="A228" t="s">
        <v>550</v>
      </c>
    </row>
    <row r="229" spans="1:1">
      <c r="A229" t="s">
        <v>551</v>
      </c>
    </row>
    <row r="230" spans="1:1">
      <c r="A230" t="s">
        <v>552</v>
      </c>
    </row>
    <row r="231" spans="1:1">
      <c r="A231" t="s">
        <v>553</v>
      </c>
    </row>
    <row r="232" spans="1:1">
      <c r="A232" t="s">
        <v>554</v>
      </c>
    </row>
    <row r="235" spans="1:1">
      <c r="A235" t="s">
        <v>67</v>
      </c>
    </row>
    <row r="236" spans="1:1">
      <c r="A236" t="s">
        <v>555</v>
      </c>
    </row>
    <row r="237" spans="1:1">
      <c r="A237" t="s">
        <v>67</v>
      </c>
    </row>
    <row r="239" spans="1:1">
      <c r="A239" t="s">
        <v>144</v>
      </c>
    </row>
    <row r="240" spans="1:1">
      <c r="A240" t="s">
        <v>394</v>
      </c>
    </row>
    <row r="241" spans="1:1">
      <c r="A241" t="s">
        <v>556</v>
      </c>
    </row>
    <row r="242" spans="1:1">
      <c r="A242" t="s">
        <v>557</v>
      </c>
    </row>
    <row r="243" spans="1:1">
      <c r="A243" t="s">
        <v>558</v>
      </c>
    </row>
    <row r="245" spans="1:1">
      <c r="A245" t="s">
        <v>149</v>
      </c>
    </row>
    <row r="246" spans="1:1">
      <c r="A246" t="s">
        <v>559</v>
      </c>
    </row>
    <row r="247" spans="1:1">
      <c r="A247" t="s">
        <v>560</v>
      </c>
    </row>
    <row r="248" spans="1:1">
      <c r="A248" t="s">
        <v>561</v>
      </c>
    </row>
    <row r="249" spans="1:1">
      <c r="A249" t="s">
        <v>562</v>
      </c>
    </row>
    <row r="250" spans="1:1">
      <c r="A250" t="s">
        <v>563</v>
      </c>
    </row>
    <row r="252" spans="1:1">
      <c r="A252" t="s">
        <v>564</v>
      </c>
    </row>
    <row r="253" spans="1:1">
      <c r="A253" t="s">
        <v>476</v>
      </c>
    </row>
    <row r="254" spans="1:1">
      <c r="A254" t="s">
        <v>565</v>
      </c>
    </row>
    <row r="255" spans="1:1">
      <c r="A255" t="s">
        <v>566</v>
      </c>
    </row>
    <row r="256" spans="1:1">
      <c r="A256" t="s">
        <v>567</v>
      </c>
    </row>
    <row r="258" spans="1:1">
      <c r="A258" t="s">
        <v>568</v>
      </c>
    </row>
    <row r="259" spans="1:1">
      <c r="A259" t="s">
        <v>569</v>
      </c>
    </row>
    <row r="260" spans="1:1">
      <c r="A260" t="s">
        <v>570</v>
      </c>
    </row>
    <row r="261" spans="1:1">
      <c r="A261" t="s">
        <v>571</v>
      </c>
    </row>
    <row r="262" spans="1:1">
      <c r="A262" t="s">
        <v>572</v>
      </c>
    </row>
    <row r="263" spans="1:1">
      <c r="A263" t="s">
        <v>573</v>
      </c>
    </row>
    <row r="264" spans="1:1">
      <c r="A264" t="s">
        <v>574</v>
      </c>
    </row>
    <row r="266" spans="1:1">
      <c r="A266" t="s">
        <v>575</v>
      </c>
    </row>
    <row r="267" spans="1:1">
      <c r="A267" t="s">
        <v>480</v>
      </c>
    </row>
    <row r="268" spans="1:1">
      <c r="A268" t="s">
        <v>576</v>
      </c>
    </row>
    <row r="269" spans="1:1">
      <c r="A269" t="s">
        <v>577</v>
      </c>
    </row>
    <row r="270" spans="1:1">
      <c r="A270" t="s">
        <v>578</v>
      </c>
    </row>
    <row r="271" spans="1:1">
      <c r="A271" t="s">
        <v>579</v>
      </c>
    </row>
    <row r="272" spans="1:1">
      <c r="A272" t="s">
        <v>580</v>
      </c>
    </row>
    <row r="273" spans="1:1">
      <c r="A273" t="s">
        <v>581</v>
      </c>
    </row>
    <row r="276" spans="1:1">
      <c r="A276" t="s">
        <v>67</v>
      </c>
    </row>
    <row r="277" spans="1:1">
      <c r="A277" t="s">
        <v>582</v>
      </c>
    </row>
    <row r="278" spans="1:1">
      <c r="A278" t="s">
        <v>67</v>
      </c>
    </row>
    <row r="280" spans="1:1">
      <c r="A280" t="s">
        <v>583</v>
      </c>
    </row>
    <row r="281" spans="1:1">
      <c r="A281" t="s">
        <v>584</v>
      </c>
    </row>
    <row r="282" spans="1:1">
      <c r="A282" t="s">
        <v>585</v>
      </c>
    </row>
    <row r="284" spans="1:1">
      <c r="A284" t="s">
        <v>586</v>
      </c>
    </row>
    <row r="285" spans="1:1">
      <c r="A285" t="s">
        <v>587</v>
      </c>
    </row>
    <row r="286" spans="1:1">
      <c r="A286" t="s">
        <v>588</v>
      </c>
    </row>
    <row r="287" spans="1:1">
      <c r="A287" t="s">
        <v>589</v>
      </c>
    </row>
    <row r="288" spans="1:1">
      <c r="A288" t="s">
        <v>590</v>
      </c>
    </row>
    <row r="289" spans="1:1">
      <c r="A289" t="s">
        <v>591</v>
      </c>
    </row>
    <row r="290" spans="1:1">
      <c r="A290" t="s">
        <v>592</v>
      </c>
    </row>
    <row r="292" spans="1:1">
      <c r="A292" t="s">
        <v>593</v>
      </c>
    </row>
    <row r="293" spans="1:1">
      <c r="A293" t="s">
        <v>594</v>
      </c>
    </row>
    <row r="294" spans="1:1">
      <c r="A294" t="s">
        <v>595</v>
      </c>
    </row>
    <row r="296" spans="1:1">
      <c r="A296" t="s">
        <v>596</v>
      </c>
    </row>
    <row r="297" spans="1:1">
      <c r="A297" t="s">
        <v>597</v>
      </c>
    </row>
    <row r="298" spans="1:1">
      <c r="A298" t="s">
        <v>598</v>
      </c>
    </row>
    <row r="299" spans="1:1">
      <c r="A299" t="s">
        <v>599</v>
      </c>
    </row>
    <row r="301" spans="1:1">
      <c r="A301" t="s">
        <v>586</v>
      </c>
    </row>
    <row r="302" spans="1:1">
      <c r="A302" t="s">
        <v>600</v>
      </c>
    </row>
    <row r="303" spans="1:1">
      <c r="A303" t="s">
        <v>601</v>
      </c>
    </row>
    <row r="304" spans="1:1">
      <c r="A304" t="s">
        <v>602</v>
      </c>
    </row>
    <row r="305" spans="1:1">
      <c r="A305" t="s">
        <v>603</v>
      </c>
    </row>
    <row r="306" spans="1:1">
      <c r="A306" t="s">
        <v>604</v>
      </c>
    </row>
    <row r="307" spans="1:1">
      <c r="A307" t="s">
        <v>605</v>
      </c>
    </row>
    <row r="309" spans="1:1">
      <c r="A309" t="s">
        <v>606</v>
      </c>
    </row>
    <row r="310" spans="1:1">
      <c r="A310" t="s">
        <v>607</v>
      </c>
    </row>
    <row r="311" spans="1:1">
      <c r="A311" t="s">
        <v>608</v>
      </c>
    </row>
    <row r="314" spans="1:1">
      <c r="A314" t="s">
        <v>67</v>
      </c>
    </row>
    <row r="315" spans="1:1">
      <c r="A315" t="s">
        <v>609</v>
      </c>
    </row>
    <row r="316" spans="1:1">
      <c r="A316" t="s">
        <v>67</v>
      </c>
    </row>
    <row r="318" spans="1:1">
      <c r="A318" t="s">
        <v>254</v>
      </c>
    </row>
    <row r="319" spans="1:1">
      <c r="A319" t="s">
        <v>610</v>
      </c>
    </row>
    <row r="320" spans="1:1">
      <c r="A320" t="s">
        <v>611</v>
      </c>
    </row>
    <row r="321" spans="1:1">
      <c r="A321" t="s">
        <v>612</v>
      </c>
    </row>
    <row r="322" spans="1:1">
      <c r="A322" t="s">
        <v>613</v>
      </c>
    </row>
    <row r="323" spans="1:1">
      <c r="A323" t="s">
        <v>614</v>
      </c>
    </row>
    <row r="324" spans="1:1">
      <c r="A324" t="s">
        <v>615</v>
      </c>
    </row>
    <row r="326" spans="1:1">
      <c r="A326" t="s">
        <v>258</v>
      </c>
    </row>
    <row r="327" spans="1:1">
      <c r="A327" t="s">
        <v>616</v>
      </c>
    </row>
    <row r="328" spans="1:1">
      <c r="A328" t="s">
        <v>617</v>
      </c>
    </row>
    <row r="329" spans="1:1">
      <c r="A329" t="s">
        <v>618</v>
      </c>
    </row>
    <row r="330" spans="1:1">
      <c r="A330" t="s">
        <v>619</v>
      </c>
    </row>
    <row r="331" spans="1:1">
      <c r="A331" t="s">
        <v>620</v>
      </c>
    </row>
    <row r="332" spans="1:1">
      <c r="A332" t="s">
        <v>621</v>
      </c>
    </row>
    <row r="333" spans="1:1">
      <c r="A333" t="s">
        <v>622</v>
      </c>
    </row>
    <row r="335" spans="1:1">
      <c r="A335" t="s">
        <v>266</v>
      </c>
    </row>
    <row r="336" spans="1:1">
      <c r="A336" t="s">
        <v>623</v>
      </c>
    </row>
    <row r="337" spans="1:1">
      <c r="A337" t="s">
        <v>624</v>
      </c>
    </row>
    <row r="338" spans="1:1">
      <c r="A338" t="s">
        <v>625</v>
      </c>
    </row>
    <row r="339" spans="1:1">
      <c r="A339" t="s">
        <v>626</v>
      </c>
    </row>
    <row r="340" spans="1:1">
      <c r="A340" t="s">
        <v>627</v>
      </c>
    </row>
    <row r="343" spans="1:1">
      <c r="A343" t="s">
        <v>67</v>
      </c>
    </row>
    <row r="344" spans="1:1">
      <c r="A344" t="s">
        <v>628</v>
      </c>
    </row>
    <row r="345" spans="1:1">
      <c r="A345" t="s">
        <v>67</v>
      </c>
    </row>
    <row r="347" spans="1:1">
      <c r="A347" t="s">
        <v>629</v>
      </c>
    </row>
    <row r="348" spans="1:1">
      <c r="A348" t="s">
        <v>630</v>
      </c>
    </row>
    <row r="349" spans="1:1">
      <c r="A349" t="s">
        <v>631</v>
      </c>
    </row>
    <row r="350" spans="1:1">
      <c r="A350" t="s">
        <v>632</v>
      </c>
    </row>
    <row r="351" spans="1:1">
      <c r="A351" t="s">
        <v>633</v>
      </c>
    </row>
    <row r="353" spans="1:1">
      <c r="A353" t="s">
        <v>634</v>
      </c>
    </row>
    <row r="354" spans="1:1">
      <c r="A354" t="s">
        <v>635</v>
      </c>
    </row>
    <row r="355" spans="1:1">
      <c r="A355" t="s">
        <v>636</v>
      </c>
    </row>
    <row r="357" spans="1:1">
      <c r="A357" t="s">
        <v>637</v>
      </c>
    </row>
    <row r="358" spans="1:1">
      <c r="A358" t="s">
        <v>638</v>
      </c>
    </row>
    <row r="360" spans="1:1">
      <c r="A360" t="s">
        <v>639</v>
      </c>
    </row>
    <row r="361" spans="1:1">
      <c r="A361" t="s">
        <v>640</v>
      </c>
    </row>
    <row r="363" spans="1:1">
      <c r="A363" t="s">
        <v>641</v>
      </c>
    </row>
    <row r="364" spans="1:1">
      <c r="A364" t="s">
        <v>642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Firebase</vt:lpstr>
      <vt:lpstr>Firebase Cred Copy from Step 1</vt:lpstr>
      <vt:lpstr>First IDE Prompts</vt:lpstr>
      <vt:lpstr>Deploy</vt:lpstr>
      <vt:lpstr>Trouidees Brand Guide</vt:lpstr>
      <vt:lpstr>Speccon Brand Guide</vt:lpstr>
      <vt:lpstr>Academy Brand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Hein van der Westhuizen</cp:lastModifiedBy>
  <dcterms:created xsi:type="dcterms:W3CDTF">2015-06-05T18:17:20Z</dcterms:created>
  <dcterms:modified xsi:type="dcterms:W3CDTF">2025-12-07T17:43:48Z</dcterms:modified>
</cp:coreProperties>
</file>